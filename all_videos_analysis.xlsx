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tiftof95/Documents/LINQIA/"/>
    </mc:Choice>
  </mc:AlternateContent>
  <xr:revisionPtr revIDLastSave="0" documentId="13_ncr:1_{75BAAB5E-086D-9A40-8037-285722DAB6E6}" xr6:coauthVersionLast="47" xr6:coauthVersionMax="47" xr10:uidLastSave="{00000000-0000-0000-0000-000000000000}"/>
  <bookViews>
    <workbookView xWindow="0" yWindow="620" windowWidth="34840" windowHeight="19380" activeTab="2" xr2:uid="{675321E7-369E-BC4C-9DC4-8B965F5800DF}"/>
  </bookViews>
  <sheets>
    <sheet name="Video Analyses (Old Prompt)" sheetId="1" r:id="rId1"/>
    <sheet name="Testing 4 Vid Analyses" sheetId="6" r:id="rId2"/>
    <sheet name="Testing 6 Vid Analyses" sheetId="7" r:id="rId3"/>
    <sheet name="Video Evaluation (Old Prompt)" sheetId="2" r:id="rId4"/>
    <sheet name="Scoring System" sheetId="3" r:id="rId5"/>
    <sheet name="Issues to Note" sheetId="4" r:id="rId6"/>
    <sheet name="Prompt Texts"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2" l="1" a="1"/>
  <c r="L5" i="2" s="1"/>
  <c r="L10" i="2" l="1" a="1"/>
  <c r="L10" i="2" s="1"/>
  <c r="L2" i="2" l="1" a="1"/>
  <c r="L2" i="2" s="1"/>
  <c r="L3" i="2" a="1"/>
  <c r="L3" i="2" s="1"/>
  <c r="L4" i="2" a="1"/>
  <c r="L4" i="2" s="1"/>
  <c r="L6" i="2" a="1"/>
  <c r="L6" i="2" s="1"/>
  <c r="L7" i="2" a="1"/>
  <c r="L7" i="2" s="1"/>
  <c r="L8" i="2" a="1"/>
  <c r="L8" i="2" s="1"/>
  <c r="L9" i="2" a="1"/>
  <c r="L9" i="2" s="1"/>
  <c r="L11" i="2" a="1"/>
  <c r="L11" i="2" s="1"/>
  <c r="L12" i="2" a="1"/>
  <c r="L1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<sst xmlns="http://schemas.openxmlformats.org/spreadsheetml/2006/main" count="990" uniqueCount="636">
  <si>
    <t>video_name</t>
  </si>
  <si>
    <t>video_url</t>
  </si>
  <si>
    <t>summary</t>
  </si>
  <si>
    <t>content_theme</t>
  </si>
  <si>
    <t>content_style</t>
  </si>
  <si>
    <t>creator_presence</t>
  </si>
  <si>
    <t>on_screen_text</t>
  </si>
  <si>
    <t>key_video_elements</t>
  </si>
  <si>
    <t>brand_safety</t>
  </si>
  <si>
    <t>brand_type</t>
  </si>
  <si>
    <t>brand_names</t>
  </si>
  <si>
    <t>transcript</t>
  </si>
  <si>
    <t>Creator-centric</t>
  </si>
  <si>
    <t>Family-friendly</t>
  </si>
  <si>
    <t>Beauty 2.mp4</t>
  </si>
  <si>
    <t>https://linqia-video-analyser-bucket.s3.us-east-2.amazonaws.com/Videos%20for%20Analysis/Beauty%202.mp4</t>
  </si>
  <si>
    <t>The video shows a makeup artist applying makeup to a woman's face. The process includes applying eyeshadow, eyeliner, foundation, blush, and lipstick. The makeup artist mentions using specific products and techniques, such as priming eyelids with concealer and setting with powder, and then applying different shades of eyeshadow. The artist also talks about using custom lashes and contouring the nose. The final look is described as glamorous, elegant, and flawless.</t>
  </si>
  <si>
    <t>['Beauty', 'Makeup Tutorials']</t>
  </si>
  <si>
    <t>['Tutorials', 'Vlogs']</t>
  </si>
  <si>
    <t>['Behind the camera', 'Face only']</t>
  </si>
  <si>
    <t>Creator, Technology, Beauty Products, Clothing/Fashion Items</t>
  </si>
  <si>
    <t>['Beauty brands', 'Multiple brands featured']</t>
  </si>
  <si>
    <t>Huda Beauty, MAC, IT Cosmetics, Shein</t>
  </si>
  <si>
    <t xml:space="preserve">Honestly, this is probably one of my favorite glam looks that I've done so far. Keep watching to see how I've done it. Also, guys, I'm offering one-on-one lessons, so reach out to me on Instagram if you're interested. First things first, always prepping the eyelids with some concealer, setting it down with powder. I'm just going in with a few transition shades. I'm focusing them on the outer corner of the eye and then just slightly dragging it through. I build them up first to the intensity that I like before I move on to the darker color. Now, I'm intensifying the eye makeup with some black shadow and a bit of liner, smoking it out and making sure it's all blended. I've also made custom lash using individual lashes from Shein. At this point, her eyes are still marked because I wasn't sure if I wanted to add shimmer. I do add shimmer in the end. Full foundation, I used Huda Labs and IT Cosmetics and blush, I used Morphe and the Made by Mitchell curve case. This is like my favorite part of the makeup because I feel like you can really see everything coming together now with the contour and the concealer and the blush placement. It's looking so flawless and smooth. I'm just bronzing her up now. I'm just reinforcing everything that I've done with cream, but with powder now. With the blush, I'll use like five different blushes. I'll use a matte blush, a shimmery blush, and I just find that you get the perfect finish like that. For her lower lash line, I'm just using the same colors that I used for her eyeshadow. For the shimmer, I used the Huda Labs highlighter and now for her lips, I used the Spiffy from Morphe and just a bit of gloss from Maybelline. Honestly, this is just one of my favorite glam looks. It's just so stunning, so elegant, still glam without being too crazy. I'm obsessed. 
</t>
  </si>
  <si>
    <t>Beauty.mp4</t>
  </si>
  <si>
    <t>https://linqia-video-analyser-bucket.s3.us-east-2.amazonaws.com/Videos%20for%20Analysis/Beauty.mp4</t>
  </si>
  <si>
    <t>The video shows a woman speaking and gesturing. She demonstrates applying something to her face by making a pinching motion near her cheek and then touching her lips. She also moves her hand in a pinching gesture and appears to be talking about not touching something.</t>
  </si>
  <si>
    <t>Beauty</t>
  </si>
  <si>
    <t>Tutorials, Vlogs</t>
  </si>
  <si>
    <t>Face only</t>
  </si>
  <si>
    <t>Creator, Clothing/Fashion Items</t>
  </si>
  <si>
    <t>No brands featured</t>
  </si>
  <si>
    <t>I'mma sit back with a blind. You put my hand in the cough. Can't touch.</t>
  </si>
  <si>
    <t>Creator-centric, Face only</t>
  </si>
  <si>
    <t>Creator, Text/Graphics, Technology, Food</t>
  </si>
  <si>
    <t>Catching Food.mp4</t>
  </si>
  <si>
    <t>https://linqia-video-analyser-bucket.s3.us-east-2.amazonaws.com/Videos%20for%20Analysis/Catching%20Food.mp4</t>
  </si>
  <si>
    <t>The video shows a person spearfishing in the ocean. They provide tips on hiding behind rocks and coral to catch fish. The person encounters a school of fish but cannot catch them. They then spot and attempt to catch a hogfish, but it swims away. The person notes that the hogfish is delicious and has a minimum size requirement for catching.</t>
  </si>
  <si>
    <t>['Recipes', 'Travel', 'Lifestyle']</t>
  </si>
  <si>
    <t>['Vlogs', 'Tutorials', 'Storytelling']</t>
  </si>
  <si>
    <t>['Creator-centric', 'Full body', 'Face only']</t>
  </si>
  <si>
    <t>Location: South Florida, Catching My Food</t>
  </si>
  <si>
    <t>Creator, Food, Technology, Nature, Clothing/Fashion Items</t>
  </si>
  <si>
    <t>Family-friendly, Mild language</t>
  </si>
  <si>
    <t>['No brands featured']</t>
  </si>
  <si>
    <t>Catching my food. Whenever you're hunting, you want to make sure that you're hiding behind any rock or coral so that the fish that you want to eat doesn't see you. I locked onto a large parrot fish, and while these guys do look big and tasty, you're not allowed to spear them because they're protected here in Florida. As I was following it, I ran out of air, so I decided to swim to the top. And from the top of the water, I saw a massive school of fish. Sometimes there's something tasty hiding in the school, so I went down to take a closer look, but when I didn't find anything, I waved them off and continued my search for what could be my breakfast. I stumbled across the most delicious fish in the sea, which is a hogfish. And when I took aim, I needed to make sure that I hit it good because these guys are destroying South Florida. That one fish wasn't going to be enough to feed me though, so I had to be extra stealthy. As I went across the bottom of the sea floor, looking for what else I can eat. I swam up to this hogfish that thought it was completely camouflaged, and when it realized that I saw it, it turned its camouflage off and slowly started swimming away from me. Well, this fish is delicious. It has to be a minimum of 16 inches. And this guy is just a little too small.</t>
  </si>
  <si>
    <t>Coding Tutorials.mp4</t>
  </si>
  <si>
    <t>https://linqia-video-analyser-bucket.s3.us-east-2.amazonaws.com/Videos%20for%20Analysis/Coding%20Tutorials.mp4</t>
  </si>
  <si>
    <t>The video is a tutorial on how to code your first desktop application. It shows examples of cute desktop apps like an egg timer and tic-tac-toe. The creator mentions a full step-by-step tutorial is available on their YouTube channel and offers template code on GitHub. The tutorial covers setup, coding, and styling.</t>
  </si>
  <si>
    <t>Technology, Coding Tutorials, DIY/Crafts</t>
  </si>
  <si>
    <t>Tutorials, How-To Guides, Vlogs</t>
  </si>
  <si>
    <t>Creator-centric, Face only, Full body</t>
  </si>
  <si>
    <t>Easy cute little desktop app tutorial, desktop applications, Egg Timer &lt;3, What are you making today?, Soft Boiled, This is how to make, your very first desktop application, RASHIA'S CALENDAR, 2, JANUARY, super beginner friendly, youtube: nashallery, preview., How to code yr first little desktop app from scratch (beginner friendly &amp; cozy aesthetic :3), from how to set up, Everything that you'll need, n-app-template, to coding and styling, your very first desktop app, github: nasha-wanich, Or if you just want to, grab a template code, Electron App Template, IMPORTANT: Click &amp; open README.md for full instructions, A simple ElectronJS starter template for building desktop apps., This repo is part of my YouTube tutorial on setting up your first, simple, beginner-friendly, and easy to customize for any, Tutorial Video, This repo is a part of my Youtube video tutorial on how to build, they are also on my Github., See Youtube video:, Design File, Figma design file for this project:, What's in this repo, happy coding!, bye &lt;3</t>
  </si>
  <si>
    <t>Creator, Technology, Text/Graphics, Screen Recordings, Clothing/Fashion Items</t>
  </si>
  <si>
    <t>desktop applications. like these? This is how to make your very first desktop application. your very first desktop application, super beginner friendly. youtube: nashallery. I have a full step-by-step tutorial on my YouTube from how to set up everything that you'll need to coding and styling your very first desktop app. github: nasha-wanich. Or if you just want to grab a template code. They are also on my GitHub. happy coding! bye &lt;3</t>
  </si>
  <si>
    <t>DIY Craft.mp4</t>
  </si>
  <si>
    <t>https://linqia-video-analyser-bucket.s3.us-east-2.amazonaws.com/Videos%20for%20Analysis/DIY%20Craft.mp4</t>
  </si>
  <si>
    <t>The video shows a person cutting and folding cardboard tubes to create a snowflake-like decoration. They then use a gold marker to add details to the decoration and attach a red ribbon to hang it. The final decoration is shown hanging in front of a laptop screen displaying a fireplace.</t>
  </si>
  <si>
    <t>DIY/Crafts</t>
  </si>
  <si>
    <t>Tutorials, Montages</t>
  </si>
  <si>
    <t>Hands-only</t>
  </si>
  <si>
    <t>TikTok, @m4yxs</t>
  </si>
  <si>
    <t>Creator, Text/Graphics, Props, DIY Projects</t>
  </si>
  <si>
    <t>I'm gonna make this for you.
But if you kissed me now.
I know you'd fool me again.</t>
  </si>
  <si>
    <t>Education.mp4</t>
  </si>
  <si>
    <t>https://linqia-video-analyser-bucket.s3.us-east-2.amazonaws.com/Videos%20for%20Analysis/Education.mp4</t>
  </si>
  <si>
    <t>Education</t>
  </si>
  <si>
    <t>Montages</t>
  </si>
  <si>
    <t>Creator-centric, Face only, Partial visibility</t>
  </si>
  <si>
    <t>Titles/Headlines</t>
  </si>
  <si>
    <t>Creator, Text/Graphics, Books, Technology</t>
  </si>
  <si>
    <t>Esport.mp4</t>
  </si>
  <si>
    <t>https://linqia-video-analyser-bucket.s3.us-east-2.amazonaws.com/Videos%20for%20Analysis/Esport.mp4</t>
  </si>
  <si>
    <t>The video shows a group of people in esports attire. One person is seen signing a large board with game titles and names. Later, the group poses for photos with a trophy, and one individual examines a smaller golden award. The speaker questions what they would do if they didn't win, and concludes with "I guess we'll never know."</t>
  </si>
  <si>
    <t>Gaming</t>
  </si>
  <si>
    <t>Vlogs, Behind-the-Scenes</t>
  </si>
  <si>
    <t>Creator-centric, Full body, Group content</t>
  </si>
  <si>
    <t>POV, Titles/Headlines, Watermarks</t>
  </si>
  <si>
    <t>Creator, Technology, Clothing/Fashion Items, Text/Graphics, Props</t>
  </si>
  <si>
    <t>Everybody want to know what I would do if I didn't win. I guess we'll never know.</t>
  </si>
  <si>
    <t>Fitness.mp4</t>
  </si>
  <si>
    <t>https://linqia-video-analyser-bucket.s3.us-east-2.amazonaws.com/Videos%20for%20Analysis/Fitness.mp4</t>
  </si>
  <si>
    <t>A woman wearing headphones and athletic clothing is performing a weightlifting exercise. She is in a gym setting with a loaded barbell on the floor. The video shows her approaching the barbell, lifting it to a squat position, and then standing up with the barbell overhead. She then lowers the barbell back to the floor.</t>
  </si>
  <si>
    <t>Fitness, Sports</t>
  </si>
  <si>
    <t>Workout Routines, How-To Guides</t>
  </si>
  <si>
    <t>Creator-centric, Full body, Face only</t>
  </si>
  <si>
    <t>Creator, Technology, Clothing/Fashion Items, Fitness Equipment</t>
  </si>
  <si>
    <t>No spoken audio.</t>
  </si>
  <si>
    <t>Food.mp4</t>
  </si>
  <si>
    <t>https://linqia-video-analyser-bucket.s3.us-east-2.amazonaws.com/Videos%20for%20Analysis/Food.mp4</t>
  </si>
  <si>
    <t>A man is shown in a car with a large amount of food, including chicken wings, fries, and corn. He is seen dipping chicken wings into a white sauce and eating them. He also dips fries into a yellow cheese sauce and eats them. He then dips a chicken wing into the white sauce again and eats it. The video also shows him eating a piece of corn and then another chicken wing dipped in white sauce. Finally, he rates his meal an 8.8 out of 10.</t>
  </si>
  <si>
    <t>['Recipes', 'Food Reviews', 'Lifestyle']</t>
  </si>
  <si>
    <t>['Vlogs', 'Taste Tests', 'Mukbang']</t>
  </si>
  <si>
    <t>['Face only', 'Creator-centric']</t>
  </si>
  <si>
    <t>Titles/Headlines, Quotes</t>
  </si>
  <si>
    <t>Creator, Food, Props, Text/Graphics</t>
  </si>
  <si>
    <t>['Food and beverage brands']</t>
  </si>
  <si>
    <t>Wingstop</t>
  </si>
  <si>
    <t>Eat Wingstop for the whole day! This might cause some other things to stop. Let's eat. Food hack time. Rate 8.8 out of 10.</t>
  </si>
  <si>
    <t>Hair Tutorial.mp4</t>
  </si>
  <si>
    <t>https://linqia-video-analyser-bucket.s3.us-east-2.amazonaws.com/Videos%20for%20Analysis/Hair%20Tutorial.mp4</t>
  </si>
  <si>
    <t>A woman is shown demonstrating how she curls her hair using a curling iron and hairspray. She begins by spraying her hair, then sections it and curls it with the iron, repeating the process on different sections. The video concludes with her showing off her styled hair.</t>
  </si>
  <si>
    <t>['Beauty', 'Hair Styling']</t>
  </si>
  <si>
    <t>['Tutorials', 'How-To Guides']</t>
  </si>
  <si>
    <t>['Face only', 'Full body']</t>
  </si>
  <si>
    <t>Creator, Technology, Clothing/Fashion Items</t>
  </si>
  <si>
    <t>['Beauty brands']</t>
  </si>
  <si>
    <t>IGK</t>
  </si>
  <si>
    <t>how I curl my hair
Big black boots
Long brown hair
She's so sweet with her
Yeah back then
But you with another man
I know where I'm at
And God
Must have sent you here
To hang with me
I said, are you gonna be my girl?</t>
  </si>
  <si>
    <t>High Fashion.mp4</t>
  </si>
  <si>
    <t>https://linqia-video-analyser-bucket.s3.us-east-2.amazonaws.com/Videos%20for%20Analysis/High%20Fashion.mp4</t>
  </si>
  <si>
    <t>A model walks a runway in a blue, scaled, avant-garde outfit with wing-like shoulder pieces. The video focuses on the outfit and the model's presentation. The background is dark with some blurry figures visible, and lighting is primarily blue.</t>
  </si>
  <si>
    <t>Fashion</t>
  </si>
  <si>
    <t>Creator, Clothing/Fashion Items, Music/Sound</t>
  </si>
  <si>
    <t>The music is playing.</t>
  </si>
  <si>
    <t>Instrument Tutorials.mp4</t>
  </si>
  <si>
    <t>https://linqia-video-analyser-bucket.s3.us-east-2.amazonaws.com/Videos%20for%20Analysis/Instrument%20Tutorials.mp4</t>
  </si>
  <si>
    <t>The video shows hands playing a piano, with on-screen text indicating instructions for playing the song "Champagne Coast" by Blood Orange. The video displays notes and chords being played on the piano keyboard.</t>
  </si>
  <si>
    <t>['Music']</t>
  </si>
  <si>
    <t>['Hands-only']</t>
  </si>
  <si>
    <t>Titles/Headlines, Tutorial Steps, Product Names</t>
  </si>
  <si>
    <t>Creator, Text/Graphics, Music/Sound, Musical Instruments, Props</t>
  </si>
  <si>
    <t>None</t>
  </si>
  <si>
    <t>How to play champagne coast by blood orange
Practice and slowly pick in the tempo
Should sound like this</t>
  </si>
  <si>
    <t>Jelly Bed.mp4</t>
  </si>
  <si>
    <t>https://linqia-video-analyser-bucket.s3.us-east-2.amazonaws.com/Videos%20for%20Analysis/Jelly%20Bed.mp4</t>
  </si>
  <si>
    <t>A shirtless person in shorts lays back into a bed filled with a turquoise liquid. The person moves their hands and floats on their back with their mouth open as if in disbelief or enjoyment.</t>
  </si>
  <si>
    <t>No category</t>
  </si>
  <si>
    <t>Creator, Home Decor</t>
  </si>
  <si>
    <t>Wow. No way. This is exactly what I needed.</t>
  </si>
  <si>
    <t>Language Learning.mp4</t>
  </si>
  <si>
    <t>https://linqia-video-analyser-bucket.s3.us-east-2.amazonaws.com/Videos%20for%20Analysis/Language%20Learning.mp4</t>
  </si>
  <si>
    <t>The creator states they are bored and want to learn numbers 1 through 10 in different languages. They attempt to say numbers in French, Russian, and German, while also showing a list of languages on a piece of paper and a screen with French numbers. The video ends with the creator saying they need more practice to learn one of the languages.</t>
  </si>
  <si>
    <t>Education, Language Learning</t>
  </si>
  <si>
    <t>Vlogs, Tutorials</t>
  </si>
  <si>
    <t>www.jeFrench.com, French Numbers 1 - 10, this is russian btw, 1. french, 2. russian, 3. japanese, 4. german, 5. italian</t>
  </si>
  <si>
    <t>Hi guys, I'm very bored and have nothing to do in my life right now. So what's more fun than to watch me learn 1 through 10 in five different languages? My five languages. French, Russian, Japanese, German, and Italian. Let's start with French. Un, deux, trois, quatre, cinq, six, sept, huit, neuf, dix. I'm going to learn. I'm going to learn the only three. Um, deux, trois, quatre, cinq, six, sept, huit, neuf, dix. My pronunciation might be very off, but let's try Japanese. I'm going to try my best, please don't judge. Ichi, ni, san, shi, go, roku, nana, hachi, ku, ju. My pronunciation might be very off. Let's try German now. Einz, drei, vier, f√ºnf, sechs, sieben, acht, neun, zehn. That concludes my video. Thank you guys so much for watching. If you guys watched till the end of this, I feel a lot of practice to do. But I would like to choose one of these languages and actually learn it, but yeah. Bye bye.</t>
  </si>
  <si>
    <t>Luxury Travel.mp4</t>
  </si>
  <si>
    <t>https://linqia-video-analyser-bucket.s3.us-east-2.amazonaws.com/Videos%20for%20Analysis/Luxury%20Travel.mp4</t>
  </si>
  <si>
    <t>A flight attendant in a uniform opens a door to reveal a private cabin on an airplane. The cabin features a plush seat, windows, a tray table with a laptop, and a vanity with a lighted mirror. The camera pans across the cabin, showing magazines on a shelf and headphones on a desk.</t>
  </si>
  <si>
    <t>Travel</t>
  </si>
  <si>
    <t>Vlogs, Day-in-the-Life, Tutorials</t>
  </si>
  <si>
    <t>Closed Captioning, Subtitles, Screen Overlays, Titles/Headlines</t>
  </si>
  <si>
    <t>Creator, Technology, Clothing/Fashion Items, Home Decor, Props, Text/Graphics</t>
  </si>
  <si>
    <t>Travel/hospitality brands</t>
  </si>
  <si>
    <t>Emirates</t>
  </si>
  <si>
    <t>You look lonely. I can fix that.</t>
  </si>
  <si>
    <t>Music Production.mp4</t>
  </si>
  <si>
    <t>https://linqia-video-analyser-bucket.s3.us-east-2.amazonaws.com/Videos%20for%20Analysis/Music%20Production.mp4</t>
  </si>
  <si>
    <t>A woman is shown in a dimly lit room with musical equipment, including a keyboard and computer. She is speaking directly to the camera and demonstrating how to create a music beat. The video shows her interacting with music production software, laying down drum patterns, and adding a bassline and melody. She encourages viewers to create their own beats and share them.</t>
  </si>
  <si>
    <t>['Creator-centric', 'Face only', 'Voice-only']</t>
  </si>
  <si>
    <t>POV, Titles/Headlines, Usernames/Handles, Watermarks</t>
  </si>
  <si>
    <t>Creator, Technology, Musical Instruments, Text/Graphics, Music/Sound</t>
  </si>
  <si>
    <t>Making your first beat can be intimidating, but it's easier than you think. Today I'm breaking it down into three simple steps anyone can follow. Step one, start from the drums. Pick a basic drum kit, go for a kick, and a hi-hat. Lay down a basic kick and snare pattern. Start with the kick on beat one and the snare on beat three. If you want to add a bounce, add some extra kicks and add the hi-hats on every beat. Nothing fancy, but it does have a groove. The bassline is what makes your beat feel powerful. Start with a synth bass. I like the wonk bass preset on Ableton. Keep your bassline simple, it's your first beat. I'll use the notes A, F, C and G. Now add a melody. Pick an instrument like piano or a synth. I'll just pick piano. And here's a trick: try to stick to only three or four notes. Go make your first beat, post it and tag me, I want to hear what you create.</t>
  </si>
  <si>
    <t>Restaurant Visit 2.mp4</t>
  </si>
  <si>
    <t>https://linqia-video-analyser-bucket.s3.us-east-2.amazonaws.com/Videos%20for%20Analysis/Restaurant%20Visit%202.mp4</t>
  </si>
  <si>
    <t>The video shows a restaurant setting with tables set and people dining. Outside the window, a bridge and cityscape are visible, along with greenery and string lights. The overall ambiance appears to be calm and inviting.</t>
  </si>
  <si>
    <t>Travel, Lifestyle</t>
  </si>
  <si>
    <t>Vlogs, Montages</t>
  </si>
  <si>
    <t>Group content, Partial visibility</t>
  </si>
  <si>
    <t>the vibe at this restaurant in brooklyn, @llavieboheme</t>
  </si>
  <si>
    <t>Creator, Food, Home Decor, Text/Graphics, Nature, Urban Environment</t>
  </si>
  <si>
    <t>the vibe at this restaurant in brooklyn
something that I need to let me in
to you</t>
  </si>
  <si>
    <t>Restaurant Visit.mp4</t>
  </si>
  <si>
    <t>https://linqia-video-analyser-bucket.s3.us-east-2.amazonaws.com/Videos%20for%20Analysis/Restaurant%20Visit.mp4</t>
  </si>
  <si>
    <t>The video showcases a variety of dishes served at a restaurant, including a Banijr Cheese Burger with fries, a Premium Meat Platter, Angus Short Ribs with mash, Truffle Mushroom Pasta with Ribeye Steak, and Oyster Blade Steak with fried rice. It also features several drinks. The text overlay states that this is a Muslim-owned HALAL steakhouse.</t>
  </si>
  <si>
    <t>Recipes, Food Reviews, Restaurant Tours</t>
  </si>
  <si>
    <t>Montages, How-To Guides</t>
  </si>
  <si>
    <t>Hands-only, Partial visibility</t>
  </si>
  <si>
    <t>This Muslim-owned HALAL steakhouse is a MUST try, Chiko Pollo Original, Banijr Cheese Burger, Premium Meat Platter, Angus Short Ribs with Mash, Truffle Mushroom Pasta with Ribeye Steak, Oyster Blade Steak with Fried Rice, heyyitskey</t>
  </si>
  <si>
    <t>Food, Text/Graphics, Props</t>
  </si>
  <si>
    <t>Streetwear.mp4</t>
  </si>
  <si>
    <t>https://linqia-video-analyser-bucket.s3.us-east-2.amazonaws.com/Videos%20for%20Analysis/Streetwear.mp4</t>
  </si>
  <si>
    <t>Four individuals are shown in a hallway-like setting. The person in the foreground, facing the camera, holds their fists up, displaying rings and a watch. Two individuals are positioned behind them, and one person stands slightly to the side. The video transitions to show all four individuals together, posing and interacting.</t>
  </si>
  <si>
    <t>Montages, Transitions</t>
  </si>
  <si>
    <t>Creator-centric, Full body</t>
  </si>
  <si>
    <t>POV: the whole group can dress</t>
  </si>
  <si>
    <t>POV: the whole group can dress
We're all so different but I think we can all dress
Like my peers, my influence were for life
All of my years let us skip to the</t>
  </si>
  <si>
    <t>Yoga:Pilates.mp4</t>
  </si>
  <si>
    <t>https://linqia-video-analyser-bucket.s3.us-east-2.amazonaws.com/Videos%20for%20Analysis/Yoga:Pilates.mp4</t>
  </si>
  <si>
    <t>Two individuals are shown performing different poses on yoga mats in a studio. The video displays text overlays indicating "Sun Salutation", "Pilates vs Yoga", and a logo with the text "SOULIFT HAUS OF WELLNESS".</t>
  </si>
  <si>
    <t>Fitness, Yoga, Pilates</t>
  </si>
  <si>
    <t>Sun Salutation, Pilates, vs, Yoga, SOULIFT, HAUS OF WELLNESS</t>
  </si>
  <si>
    <t>Creator, Text/Graphics, Music/Sound, Props, Fitness Equipment</t>
  </si>
  <si>
    <t>Video Name</t>
  </si>
  <si>
    <t>Score</t>
  </si>
  <si>
    <t>Rating</t>
  </si>
  <si>
    <t>Criteria</t>
  </si>
  <si>
    <t>Excellent</t>
  </si>
  <si>
    <t>100% accurate, nothing missing, no hallucinations</t>
  </si>
  <si>
    <t>Good</t>
  </si>
  <si>
    <t>90%+ accurate, minor omissions or very minor errors</t>
  </si>
  <si>
    <t>Fair</t>
  </si>
  <si>
    <t>70-89% accurate, some errors or missing key elements</t>
  </si>
  <si>
    <t>Poor</t>
  </si>
  <si>
    <t>50-69% accurate, major errors or significant omissions</t>
  </si>
  <si>
    <t>Failed</t>
  </si>
  <si>
    <t>&lt;50% accurate, hallucinations, or completely wrong</t>
  </si>
  <si>
    <t>Summary</t>
  </si>
  <si>
    <t>Content Theme</t>
  </si>
  <si>
    <t>Content Style</t>
  </si>
  <si>
    <t>Creator Presence</t>
  </si>
  <si>
    <t>On-Screen Text/Graphics</t>
  </si>
  <si>
    <t xml:space="preserve">Key Video Elements </t>
  </si>
  <si>
    <t>Brand Safety</t>
  </si>
  <si>
    <t>CRITERIAS</t>
  </si>
  <si>
    <t>SCORE: 4</t>
  </si>
  <si>
    <t>SCORE: 0</t>
  </si>
  <si>
    <t>RUBRIC</t>
  </si>
  <si>
    <t>Does it accurately describe what happens in the video?
Are all major visual and audio elements mentioned?
Does it avoid assumptions or inferences?</t>
  </si>
  <si>
    <t>Do the selected themes match the video content?
 Are important themes missing?
 Are inappropriate themes included?</t>
  </si>
  <si>
    <t>Does the style match how the video was produced?
Multiple styles can be correct (e.g., "Tutorial, POV")</t>
  </si>
  <si>
    <t>How much of the creator is visible?
Is the description accurate?</t>
  </si>
  <si>
    <t>Watch carefully for any text that appears
Check overlays, captions, graphics, logos, etc.</t>
  </si>
  <si>
    <t>Are the main subjects/objects correctly identified?
Nothing important missing?</t>
  </si>
  <si>
    <t>Is the content family-friendly or does it have issues?
Are warnings accurate?</t>
  </si>
  <si>
    <t>ATTRIBUTES</t>
  </si>
  <si>
    <t>All key actions/events described accurately
No made-up details
Captures the essence of the video</t>
  </si>
  <si>
    <t>Describes things not in the video
Misses the main point entirely
Major factual errors</t>
  </si>
  <si>
    <t>All relevent themes correctly identified
No incorrect themes
Nothing major missing</t>
  </si>
  <si>
    <t>Style accurately describes the format
All applicable styles mentioned</t>
  </si>
  <si>
    <t>Wrong style entirely (e.g., "Interview" for a solo vlog)
Major style elements missed</t>
  </si>
  <si>
    <t>Perfectly describes what you see (e.g., "Full body" when you see full body)
Captures multiple presence types if applicable</t>
  </si>
  <si>
    <t>Says "No visible people" when person is on screen
Says "Face only" when showing full body</t>
  </si>
  <si>
    <t>All visible text elements identified
No hallucinated text mentioned</t>
  </si>
  <si>
    <t>Mentions text that doesn't exist
Misses obvious text (like brand logos, captions)</t>
  </si>
  <si>
    <t>All major elements present (Creator, Product, Props, etc.)
Nothing incorrect added</t>
  </si>
  <si>
    <t>Missed the main subject (e.g., says "Food" when it's about "Technology")</t>
  </si>
  <si>
    <t>Correctly identifies any concerning content
Doesn't over-flag safe content</t>
  </si>
  <si>
    <t>Flags family content as unsafe
Misses obvious safety issues (strong language, etc.)</t>
  </si>
  <si>
    <t>Are brands actually featured?
Is the brand type correct?</t>
  </si>
  <si>
    <t>Brand Type</t>
  </si>
  <si>
    <t>Correctly identifies brand presence/absence
Right type if brands present</t>
  </si>
  <si>
    <t>Says "No brands" when brands clearly shown
Wrong brand type entirely</t>
  </si>
  <si>
    <t>Brand Names</t>
  </si>
  <si>
    <t>Can you CLEARLY see or hear the brand name?
Logo must be readable OR explicitly spoken</t>
  </si>
  <si>
    <t>Only lists brands that are clearly visible/spoken
Doesn't guess brand names</t>
  </si>
  <si>
    <t>Lists brands not in video (hallucination)
Guesses brands from generic products</t>
  </si>
  <si>
    <t>Transcript</t>
  </si>
  <si>
    <t>Does it match what was actually said?
Are filler words removed as instructed?
No visual descriptions included?</t>
  </si>
  <si>
    <t>Accurate word-for-word transcription
Clean (no "um", "uh")
No visual descriptions</t>
  </si>
  <si>
    <t>Completely wrong or includes visual descriptions
Made-up dialogue</t>
  </si>
  <si>
    <t>SCORE: 2</t>
  </si>
  <si>
    <t>Mostly accurate but some words wrong
Includes some filler words</t>
  </si>
  <si>
    <t xml:space="preserve">Got main elements but missed some secondary ones
</t>
  </si>
  <si>
    <t xml:space="preserve"> </t>
  </si>
  <si>
    <t xml:space="preserve">Content Theme </t>
  </si>
  <si>
    <t>On Screen Text</t>
  </si>
  <si>
    <t>Key Elements</t>
  </si>
  <si>
    <t>Overall Score</t>
  </si>
  <si>
    <t>Notes</t>
  </si>
  <si>
    <t>Completely wrong themes
Missed the main theme
Choses "No Category" when clear category exists</t>
  </si>
  <si>
    <t>• "blunt" transcribed as "blind"
• "cuff" transcribed as "cough"
• These incorrects however are due to the it being music played instead of the creator speaking - where they may not always be clear with pronunciation
• Unable to identify that it was a transition video for Content Style
• Doesn't identify that some of the gestures are not family-friendly, for example the blunt and the lyrics abt cuffing</t>
  </si>
  <si>
    <t>• Misses "lets catch food" in the beginning - changes to catching my food which is the onscreen text.
• "Lionfish" transcribed to "hogfish" instead
• Doesn't quite hit the right content theme or niche - perhaps we don't have enough categories to choose from. (e.g. hunting)
• I would say mostly correct for key video elements except for clothing/fashion items</t>
  </si>
  <si>
    <t>• "matte" transcribed as "marked"
• "haus labs" transcribed as "huda labs" - making assumptions
• Edited out phrases such as "I love it"
• Everything between 1:00 to 1:17 is missing
• Key Video Elements not fully accurate - not clothing/fashion items or technology</t>
  </si>
  <si>
    <t>• Everything seems pretty accurate</t>
  </si>
  <si>
    <t>• Occasional appearances may be more of an accurate "amount of creator presence" described</t>
  </si>
  <si>
    <t>• While not mentioned, brands printed on gamer's clothing (e.g. Merc, Samsung, Odyssey)
• Not sure if on screen text is supposed to include the transcript or ??</t>
  </si>
  <si>
    <t>• Not sure why it always includes 'Face Only' on top of 'Full body' when it's usually a full body video
• Clothing/fashion items? should that be included as a key video element
• Correctly identifies no spoken audio</t>
  </si>
  <si>
    <t>• Misses out on "I know you want a bite" on the transcription, else everything accurate
• Doesn't identify usernames/handles
• Instead of quotes it should be more of a 'respond to comment'</t>
  </si>
  <si>
    <t>ISSUES TO NOTE</t>
  </si>
  <si>
    <t>Picks up more information than it needs (e.g. FACE ONLY + FULL BODY) when it's usually just full body</t>
  </si>
  <si>
    <t>Not enough categories to select from</t>
  </si>
  <si>
    <t>Can't pick up transitions</t>
  </si>
  <si>
    <t>Picks up family-friendly, mild-language very commonly</t>
  </si>
  <si>
    <t>Doesn't identify usernames/handles, respond to comment videos - may need a prompt to identify these</t>
  </si>
  <si>
    <t>Picks up too many key video elements (e.g. Technology - when a gym girl just wear an apple headphone, Clothing/Fitness - when it's just someone gymming or clothed)</t>
  </si>
  <si>
    <t>Transcription still missing</t>
  </si>
  <si>
    <t>Any time any "instructions" or "directions" are given - maybe it should be able to detect that it is a tutorial. (e.g. instrument tutorial), check for "how to"</t>
  </si>
  <si>
    <t>• While the summary is good, it doesn't go into more key details about (e.g. giving instructions on how to play the song slowly and increasing the speed to show what it should actually sound like)
• Would be better instead of just music, it did not pick up on "instrument tutorials" for content theme, but did pick up for content style
• Instead of product names, perhaps brand names or brand logos for Pearl River piano</t>
  </si>
  <si>
    <t>Categories to Add</t>
  </si>
  <si>
    <t>Oddly satisfying</t>
  </si>
  <si>
    <t>Viral content</t>
  </si>
  <si>
    <t>Lifestyle</t>
  </si>
  <si>
    <t>Sensory videos</t>
  </si>
  <si>
    <t>• Should be more than just face only, it is full body. 
• Unable to classify or categorise what type of video it is - should be "oddly satisfying" or "sensory" content type videos</t>
  </si>
  <si>
    <t>• For on-screen-text attribute, it pretty much transribes everything on the screen, including what can be shown on the creator's personal laptop, which then means there's a massive output. 
• Classifies clothing/fashion items as a key element of the video when it is not
• For the actual transcription, it transcribes the on screen texts on top of what is being said</t>
  </si>
  <si>
    <t>Can't pick up the explicit languages that are in the background song</t>
  </si>
  <si>
    <t>Response videos</t>
  </si>
  <si>
    <t>Text-based</t>
  </si>
  <si>
    <t>Talking-head</t>
  </si>
  <si>
    <t>Demonstration</t>
  </si>
  <si>
    <t>Ragebait</t>
  </si>
  <si>
    <t>It's still recording background music (where the creator isn't talking) as part of the transcription</t>
  </si>
  <si>
    <t>Debating</t>
  </si>
  <si>
    <t>Social Commentary</t>
  </si>
  <si>
    <t>Philosophy</t>
  </si>
  <si>
    <t>Philosophical</t>
  </si>
  <si>
    <t>Study</t>
  </si>
  <si>
    <t>Academic</t>
  </si>
  <si>
    <t>Exam Preparation</t>
  </si>
  <si>
    <t>Research</t>
  </si>
  <si>
    <t>Student Life</t>
  </si>
  <si>
    <t>Campus Tours</t>
  </si>
  <si>
    <t>Interview Tips</t>
  </si>
  <si>
    <t>Study with Me</t>
  </si>
  <si>
    <t>Racing</t>
  </si>
  <si>
    <t>Religion</t>
  </si>
  <si>
    <t>Extreme Sports</t>
  </si>
  <si>
    <t>Motivational Content</t>
  </si>
  <si>
    <t>Tips and Tricks</t>
  </si>
  <si>
    <t>Walking Tour</t>
  </si>
  <si>
    <t>Motivation</t>
  </si>
  <si>
    <t>Famous Quotes</t>
  </si>
  <si>
    <t>Health &amp; Wellbeing</t>
  </si>
  <si>
    <t>Medical</t>
  </si>
  <si>
    <t>Medical Advice</t>
  </si>
  <si>
    <t>Career</t>
  </si>
  <si>
    <t>Quiz</t>
  </si>
  <si>
    <t>Key Video Elements</t>
  </si>
  <si>
    <t>Medicine</t>
  </si>
  <si>
    <t>Electronics</t>
  </si>
  <si>
    <t>Drinks</t>
  </si>
  <si>
    <t>Aviation</t>
  </si>
  <si>
    <t>Geography</t>
  </si>
  <si>
    <t>Travel Accessories</t>
  </si>
  <si>
    <t>Accessories</t>
  </si>
  <si>
    <t>Transportation</t>
  </si>
  <si>
    <t>Map</t>
  </si>
  <si>
    <t>Routes</t>
  </si>
  <si>
    <t>Property</t>
  </si>
  <si>
    <t>Investments</t>
  </si>
  <si>
    <t>Celebrities</t>
  </si>
  <si>
    <t>Entertainment News</t>
  </si>
  <si>
    <t>News/Headlines</t>
  </si>
  <si>
    <t>Quotes</t>
  </si>
  <si>
    <t>Hardware</t>
  </si>
  <si>
    <t>Military</t>
  </si>
  <si>
    <t>Nutrition</t>
  </si>
  <si>
    <t>Healthcare</t>
  </si>
  <si>
    <t>Stocks</t>
  </si>
  <si>
    <t>Cryptocurrency</t>
  </si>
  <si>
    <t>Travel Itineraries</t>
  </si>
  <si>
    <t>Case Studies</t>
  </si>
  <si>
    <t>Street Interview</t>
  </si>
  <si>
    <t>Back to School</t>
  </si>
  <si>
    <t>What's In My Bag</t>
  </si>
  <si>
    <t>Couples</t>
  </si>
  <si>
    <t>Giveaways</t>
  </si>
  <si>
    <t>Product Reviews</t>
  </si>
  <si>
    <t>Service Reviews</t>
  </si>
  <si>
    <t>Study Tips</t>
  </si>
  <si>
    <t>Success Stories</t>
  </si>
  <si>
    <t>OLD PROMPT TEXT</t>
  </si>
  <si>
    <t>OLD_PROMPT_TEXT = """
a) Summarize this video
b) Answer below questions in 1 or 2 words:
    i) What is the depicted Content Theme or Niches in the video from the below options (if it does not fall in any of the below categories, return "No category"):
    - Recipes, Cooking, Baking, Food Reviews, Restaurant Tours, Pets, Dog Training, Cat Care, Exotic Animals, Travel, Budget Travel,Luxury Travel, Adventure Travel, Family, Parenting, Single Parenting, Large Family Life, Cars, Car Reviews, Auto Repair, Classic Cars,Fashion, Streetwear, High Fashion, Thrifting, Beauty, Skincare,Makeup Tutorials, Hair Styling, Fitness, Weightlifting, Yoga, CrossFit, Technology, Gadget Reviews, Coding Tutorials,Tech News, Gaming, Game Reviews, Let's Plays, Esports, Music, Instrument Tutorials,Music Production, Song Covers, DIY/Crafts, Home Improvement, Upcycling,Arts and Crafts, Education, Language Learning, Science Experiments,History Lessons,Humor,Stand-up Comedy,Pranks,Sketch Comedy,Lifestyle,Minimalism,Luxury Living,Van Life,Personal Finance,Budgeting Tips,Investing Basics,Cryptocurrency,Mental Health,Meditation,Therapy Insights,Self-Care Tips,Gardening,Urban Gardening,Permaculture,Plant Care,Sports,Sports Analysis,Athlete Interviews,Training Tips,Books,Book Reviews,Author Interviews,Reading Challenges,Art,Painting Tutorials,Digital Art,Art History,Photography,Camera Reviews,Photo Editing Tutorials,Photography Tips,Environmental,Sustainability Tips,Climate Change Awareness,Zero Waste Living,Politics,Political Analysis,Activism,Civic Education,Spirituality,Meditation Guides,Religious Teachings,New Age Practices,Business,Entrepreneurship,Marketing Tips,Small Business Advice,Science,Space Exploration,Biology Facts,Chemistry Experiments,Film/TV,Movie Reviews,TV Show Recaps,Behind-the-Scenes,Fashion,Outfit Ideas,Fashion History,Sustainable Fashion
    ii) What is the content style that can be inferred from this video from the below options (if it does not fall in any of the below categories, return "No category"):
    - ASMR,Skits,Transitions,Graphics-heavy,Vlogs,Day-in-the-Life,Tutorials,Reviews,Unboxing,Challenges,Q&amp;A,Interviews,Reaction Videos,Compilations,Time-lapse,Slow Motion,Stop Motion,Live Streaming,Storytelling,Podcasts,Listicles,How-To Guides,Before and After,Pranks,Social Experiments,Parodies,Montages,Behind-the-Scenes,Hauls,Lookbooks,Product Demos,Taste Tests,Mukbang,Room Tours,Workout Routines,Outfit of the Day,Get Ready With Me,What I Eat in a Day,Morning Routines,Night Routines,Transformation Videos,Expectation vs. Reality,Duets/Collaborations,Rants,Storytime,Ambient/Background Videos,Shorts/Reels/TikToks,Educational Animations,Whiteboard Explainers,Green Screen Effects,Point-of-View (POV),Lip Sync,Dance Choreography,Talent Showcases
    iii)What is the amount of creator present that can be inferred from this video. Choose from below options, if it does not fall in any of the below categories, return "No category":
    - Hands-only,Creator-centric,Silhouettes,No visible people,Occasional appearances,Group content,Face only,Full body,Voice-only,Animated avatar,Family-focused,Pet-focused,Product-focused,Guest-starring,Cameo appearances,Behind the camera,Partial visibility (e.g., lower body only)
    iv) Which of these On-Screen Text / Graphics like categories are shown in the video. Choose whatever is applicable from below options:
    - "POV",Closed Captioning,Brand Logos,FTC Disclosures (#ad, #brandpartner),Subtitles,Emojis,Infographics,Statistics,Quotes,Timestamps,Pricing Information,Product Names,Usernames/Handles,Clickable Links,Countdown Timers,Call-to-Action Buttons,Animated Text,Lyric Displays,Screen Overlays,Lower Thirds,Pop-up Bubbles,Tutorial Steps,Recipe Ingredients,Titles/Headlines,End Screens,Watermarks,Location Tags,Age Restrictions,Content Warnings,Fact Boxes,Scoreboard/Leaderboard
    v) What are some of the key video elements. Choose from below options:
    - The Creator,A Product,A Pet,A Child,A Location,An Activity,Text/Graphics,Music/Sound,Special Effects,Props,Food,Vehicles,Technology,Nature,Urban Environment,Artwork,Sports Equipment,Clothing/Fashion Items,Books,Musical Instruments,Fitness Equipment,Beauty Products,Home Decor,DIY Projects,Collectibles,Celebrity Guests,Expert Interviews,Audience Participation,Screen Recordings,Archival Footage
    vi) What does this video say about Brand Safety Considerations. Choose from below options:
    - Family-friendly,Mild language,Strong language,Sexual content,Violence,Drug use,Alcohol consumption,Revealing clothing,Controversial topics,Political content,Religious content,Graphic medical content,Dangerous stunts,Potential copyright issues,Unverified health claims,Financial advice (potential risk),Sensitive social issues,Depictions of gambling,Weapons,Extreme sports,Conspiracy theories,Potential misinformation,Satire/parody (may be misunderstood)
    vii) What brands are featured in this video Chose from below options:
    - No brands featured,Multiple brands featured,Exclusive brand partnership,Competitor brands shown,Small/local brands,Luxury brands,Tech brands,Fashion brands,Beauty brands,Food and beverage brands,Automotive brands,Travel/hospitality brands,Fitness/health brands,Home goods brands,Entertainment brands,Financial services brands,Educational brands,Pet care brands,Sustainability-focused brands,Sports equipment brands,Gaming brands,Subscription services,Direct-to-consumer brands,Retail chains
    viii) Brand names that are featured in the video - Return names
"""</t>
  </si>
  <si>
    <t>NEW_PROMPT_TEXT</t>
  </si>
  <si>
    <t>NEW_PROMPT_TEXT = """
You are an AI video analysis system. You MUST follow these rules:
STRICT RULES (NO HALLUCINATION):
- Do NOT guess, infer, assume, or add information not explicitly shown or spoken.
- If something is unclear or not confirmed visually or through transcript, return “No category”, “Unknown”, or “None”.
- Do NOT infer creator intent, emotions, demographics, motivations.
- Do NOT identify brands unless a logo is clearly readable OR the transcript explicitly names the brand.
- If multiple interpretations are possible, choose the LEAST specific.
- Prefer “No category” instead of guessing.
- Transcript overrides for spoken facts. Visuals override for visual facts.
- If visuals &amp; transcript conflict → choose “Unknown”.
INPUTS:
- Video (creator video)
- Transcript (spoken content)
TASK A — VIDEO SUMMARY  
Provide a strictly summary of this video describing ONLY what is visually and audibly confirmed.
TASK B — CLASSIFICATION  
Classify the video using ONLY the allowed labels below.  
If it does not match ANY category → return “No category”.
────────────────────────────────────────────────────────
1) CONTENT THEME (choose MULTIPLE)
[Recipes, Cooking, Baking, Food Reviews, Restaurant Tours, Pets, Dog Training, Cat Care, Exotic Animals, Travel, Budget Travel, Luxury Travel, Adventure Travel, Family, Parenting, Single Parenting, Large Family Life, Cars, Car Reviews, Auto Repair, Classic Cars, Fashion, Streetwear, High Fashion, Thrifting, Beauty, Skincare, Makeup Tutorials, Hair Styling, Fitness, Weightlifting, Yoga, CrossFit, Technology, Gadget Reviews, Coding Tutorials, Tech News, Gaming, Game Reviews, Let's Plays, Esports, Music, Instrument Tutorials, Music Production, Song Covers, DIY/Crafts, Home Improvement, Upcycling, Arts and Crafts, Education, Language Learning, Science Experiments, History Lessons, Humor, Stand-up Comedy, Pranks, Sketch Comedy, Lifestyle, Minimalism, Luxury Living, Van Life, Personal Finance, Budgeting Tips, Investing Basics, Cryptocurrency, Mental Health, Meditation, Therapy Insights, Self-Care Tips, Gardening, Urban Gardening, Permaculture, Plant Care, Sports, Sports Analysis, Athlete Interviews, Training Tips, Books, Book Reviews, Author Interviews, Reading Challenges, Art, Painting Tutorials, Digital Art, Art History, Photography, Camera Reviews, Photo Editing Tutorials, Photography Tips, Environmental, Sustainability Tips, Climate Change Awareness, Zero Waste Living, Politics, Political Analysis, Activism, Civic Education, Spirituality, Meditation Guides, Religious Teachings, New Age Practices, Business, Entrepreneurship, Marketing Tips, Small Business Advice, Science, Space Exploration, Biology Facts, Chemistry Experiments, Film/TV, Movie Reviews, TV Show Recaps, Behind-the-Scenes, Fashion, Outfit Ideas, Fashion History, Sustainable Fashion]
2) CONTENT STYLE (choose MULTIPLE)
[ASMR, Skits, Transitions, Graphics-heavy, Vlogs, Day-in-the-Life, Tutorials, Reviews, Unboxing, Challenges, Q&amp;A, Interviews, Reaction Videos, Compilations, Time-lapse, Slow Motion, Stop Motion, Live Streaming, Storytelling, Podcasts, Listicles, How-To Guides, Before and After, Pranks, Social Experiments, Parodies, Montages, Behind-the-Scenes, Hauls, Lookbooks, Product Demos, Taste Tests, Mukbang, Room Tours, Workout Routines, Outfit of the Day, Get Ready With Me, What I Eat in a Day, Morning Routines, Night Routines, Transformation Videos, Expectation vs. Reality, Duets/Collaborations, Rants, Storytime, Ambient/Background Videos, Shorts/Reels/TikToks, Educational Animations, Whiteboard Explainers, Green Screen Effects, Point-of-View (POV), Lip Sync, Dance Choreography, Talent Showcases, Study With Me]
3) CREATOR PRESENCE (choose MULTIPLE)
[Hands-only, Creator-centric, Silhouettes, No visible people, Occasional appearances, Group content, Face only, Full body, Voice-only, Animated avatar, Family-focused, Pet-focused, Product-focused, Guest-starring, Cameo appearances, Behind the camera, Partial visibility]
4) ON-SCREEN TEXT / GRAPHICS (choose MULTIPLE)
["POV", Closed Captioning, Brand Logos, FTC Disclosures (#ad/#brandpartner), Subtitles, Emojis, Infographics, Statistics, Quotes, Timestamps, Pricing Information, Product Names, Usernames/Handles, Clickable Links, Countdown Timers, Call-to-Action Buttons, Animated Text, Lyric Displays, Screen Overlays, Lower Thirds, Pop-up Bubbles, Tutorial Steps, Recipe Ingredients, Titles/Headlines, End Screens, Watermarks, Location Tags, Age Restrictions, Content Warnings, Fact Boxes, Scoreboard/Leaderboard]
5) KEY VIDEO ELEMENTS (choose MULTIPLE)
[Creator, Product, Pet, Child, Text/Graphics, Music/Sound, Special Effects, Props, Food, Vehicles, Technology, Nature, Urban Environment, Artwork, Sports Equipment, Clothing/Fashion Items, Books, Musical Instruments, Fitness Equipment, Beauty Products, Home Decor, DIY Projects, Collectibles, Celebrity Guests, Expert Interviews, Audience Participation, Screen Recordings, Archival Footage]
6) BRAND SAFETY CATEGORIES (choose MULTIPLE)
[Family-friendly, Mild language, Strong language, Sexual content, Violence, Drug use, Alcohol consumption, Revealing clothing, Controversial topics, Political content, Religious content, Graphic medical content, Dangerous stunts, Potential copyright issues, Unverified health claims, Financial advice, Sensitive social issues, Depictions of gambling, Weapons, Extreme sports, Conspiracy theories, Potential misinformation, Satire/parody]
7) BRAND TYPE (choose MULTIPLE)
[No brands featured, Multiple brands featured, Exclusive brand partnership, Competitor brands shown, Small/local brands, Luxury brands, Tech brands, Fashion brands, Beauty brands, Food and beverage brands, Automotive brands, Travel/hospitality brands, Fitness/health brands, Home goods brands, Entertainment brands, Financial services brands, Educational brands, Pet care brands, Sustainability-focused brands, Sports equipment brands, Gaming brands, Subscription services, Direct-to-consumer brands, Retail chains]
8) BRAND NAMES (free text; “None” if no brands visible or spoken)
9) CAPTION for the video (2–3 sentences, strictly factual, no assumptions)
10) Video Transcript:
    **Role:** You are a professional video transcriber and editor.
    **Task:** Create a verbatim transcript of the SPOKEN audio in this video file.
    **Strict Constraints:**
        1. **Audio Only:** Transcribe only what is spoken. Do NOT transcribe text that appears on the screen (titles, lower thirds, subtitles, or background signs).
        2. **No Visual Descriptions:** Do not describe the scene, actions, or physical appearance of the speakers.
        3. **Clean Up:** Remove filler words (like "um," "uh," "ah") and false starts to make the text human-readable, but do not change the meaning or vocabulary used by the speakers.
        4. **Formatting:** Use proper punctuation and paragraph breaks to ensure readability.
    **Output:** Provide the transcript in plain text format.
────────────────────────────────────────────────────────
OUTPUT FORMAT — STRICT JSON ONLY
{
  "summary": "",
  "content_theme": "",
  "content_style": "",
  "creator_presence": "",
  "on_screen_text": [],
  "key_video_elements": [],
  "brand_safety": [],
  "brand_type": "",
  "brand_names": [],
  "transcript": ""
}
Return ONLY this JSON. No explanations.
"""</t>
  </si>
  <si>
    <t>NEW_PROMPT_TEXT_2</t>
  </si>
  <si>
    <t>NEW_PROMPT_TEXT_2 = """
You are an AI video analysis system. You MUST follow these rules:
STRICT RULES (NO HALLUCINATION):
- Do NOT guess, infer, assume, or add information not explicitly shown or spoken.
- If something is unclear or not confirmed visually or through transcript, return “No category”, “Unknown”, or “None”.
- Do NOT infer creator intent, emotions, demographics, motivations.
- If multiple interpretations are possible, choose the LEAST specific.
- Prefer “No category” instead of guessing.
- Transcript overrides for spoken facts. Visuals override for visual facts.
- If visuals &amp; transcript conflict → choose “Unknown”.
BODY VISIBILITY RULES
- "FACE ONLY" applies ONLY if no part of the body beyond the face or neck is visible at any point in the video.
- If any torso, arms, or legs are visible at any time, "FACE ONLY" must NOT be selected.
- "FULL BODY" applies if the head, torso, and legs are visible at the same time in at least one frame.
- "UPPER BODY" applies if torso and arms are visible but legs are not.
- Categories may co-exist ONLY if their definitions do not logically contradict.
- Do NOT select logically conflicting categories.
CATEGORY SELECTION RULES
- A category must represent the PRIMARY focus of the video.
- The presence of an object alone does NOT justify a category.
- Incidental objects (e.g. phones, headphones, clothing) must NOT trigger categories unless they are discussed, demonstrated, or central to the content.
TUTORIAL IDENTIFICATION RULES
- Label as "Tutorial" ONLY if:
  a) The transcript contains instructional language (e.g. "how to", "step one", "do this", "let me show you", "this is how you"), OR
  b) The video clearly demonstrates a sequence of steps intended to teach.
- Demonstration without teaching intent is NOT a tutorial.
TRANSITION VIDEO RULES
- Identify transitions ONLY if an observable editing change occurs (e.g. cut, fade, jump).
- Camera movement alone is NOT a transition.
- If uncertain, output "None".
BRAND SAFETY – LANGUAGE &amp; VISUAL RISK DETECTION RULES
- This task is for BRAND SAFETY classification.
- Evaluate ALL modalities for potential brand safety risk:
  a) Audible language
  b) Visual imagery
  c) On-screen text
--------------------------------
LANGUAGE (AUDIO &amp; TEXT)
--------------------------------
- Evaluate ALL audible language for brand safety risk, including:
  a) Spoken dialogue
  b) Background music lyrics
  c) On-screen text that is audibly spoken
- Background music lyrics MUST be treated as equivalent to spoken language
  for brand safety classification.
- If explicit or profane words are clearly audible in background lyrics,
  classify the video as containing explicit language.
- Do NOT ignore language because it is part of a song or background audio.
- Do NOT infer lyrics, censor words, or guess based on artist or genre.
- If lyrics are present but not clearly intelligible, output "Unknown".
--------------------------------
VISUAL (IMAGERY)
--------------------------------
- Evaluate visual content for brand safety risk based ONLY on what is clearly visible.
- Visual risk includes, but is not limited to:
  a) Graphic medical procedures or exposed organs
  b) Visible blood, wounds, or injuries presented in a graphic manner
  c) Explicit sexual imagery or nudity
  d) Disturbing, shocking, or gory imagery
- Do NOT infer context, intent, or acceptability.
- Medical or educational context does NOT negate visual brand safety risk.
- If graphic or explicit imagery is clearly visible, flag for brand safety risk.
- If visuals are suggestive but not clearly graphic, output "Unknown".
INPUTS:
- Video (creator video)
- Transcript (spoken content)
TASK A — VIDEO SUMMARY  
Provide a strictly summary of this video describing ONLY what is visually and audibly confirmed.
TASK B — CLASSIFICATION  
Classify the video using ONLY the allowed labels below.  
If it does not match ANY category → return “No category”.
────────────────────────────────────────────────────────
1) CONTENT THEME (choose MULTIPLE)
[Recipes, Cooking, Baking, Food Reviews, Restaurant Tours, Pets, Dog Training, Cat Care, Exotic Animals, Travel, Budget Travel, Luxury Travel, Adventure Travel, Family, Parenting, Single Parenting, Large Family Life, Cars, Car Reviews, Auto Repair, Classic Cars, Fashion, Streetwear, High Fashion, Thrifting, Beauty, Skincare, Makeup Tutorials, Hair Styling, Fitness, Weightlifting, Yoga, CrossFit, Technology, Gadget Reviews, Coding Tutorials, Tech News, Gaming, Game Reviews, Let's Plays, Esports, Music, Instrument Tutorials, Music Production, Song Covers, DIY/Crafts, Home Improvement, Upcycling, Arts and Crafts, Education, Language Learning, Science Experiments, History Lessons, Humor, Stand-up Comedy, Pranks, Sketch Comedy, Lifestyle, Minimalism, Luxury Living, Van Life, Personal Finance, Budgeting Tips, Investing Basics, Cryptocurrency, Mental Health, Meditation, Therapy Insights, Self-Care Tips, Gardening, Urban Gardening, Permaculture, Plant Care, Sports, Sports Analysis, Athlete Interviews, Training Tips, Books, Book Reviews, Author Interviews, Reading Challenges, Art, Painting Tutorials, Digital Art, Art History, Photography, Camera Reviews, Photo Editing Tutorials, Photography Tips, Environmental, Sustainability Tips, Climate Change Awareness, Zero Waste Living, Politics, Political Analysis, Activism, Civic Education, Spirituality, Meditation Guides, Religious Teachings, New Age Practices, Business, Entrepreneurship, Marketing Tips, Small Business Advice, Science, Space Exploration, Biology Facts, Chemistry Experiments, Film/TV, Movie Reviews, TV Show Recaps, Behind-the-Scenes, Fashion, Outfit Ideas, Fashion History, Sustainable Fashion, Oddly Satisfying, Sensory Video, Debating, Social Commentary, Philosophy, Study, Academics, Exam Preparation, Research, Student Life, Campus Tours, Interview Tips, Racing, Religion, Extreme Sports, Wildlife, Motivation, Famous Quotes, Walking Tour, Health &amp; Wellbeing, Medical, Career, Aviation, Geography, Investments, Property, Celebrities, Entertainment News, Back to School, Couples]
2) CONTENT STYLE (choose MULTIPLE)
[ASMR, Skits, Transitions, Graphics-heavy, Vlogs, Day-in-the-Life, Tutorials, Reviews, Unboxing, Challenges, Q&amp;A, Interviews, Reaction Videos, Compilations, Time-lapse, Slow Motion, Stop Motion, Live Streaming, Storytelling, Podcasts, Listicles, How-To Guides, Before and After, Pranks, Social Experiments, Parodies, Montages, Behind-the-Scenes, Hauls, Lookbooks, Product Demos, Taste Tests, Mukbang, Room Tours, Workout Routines, Outfit of the Day, Get Ready With Me, What I Eat in a Day, Morning Routines, Night Routines, Transformation Videos, Expectation vs. Reality, Duets/Collaborations, Rants, Storytime, Ambient/Background Videos, Shorts/Reels/TikToks, Educational Animations, Whiteboard Explainers, Green Screen Effects, Point-of-View (POV), Lip Sync, Dance Choreography, Talent Showcases, Response Videos, Text-based, Talking-Head, Demonstration, Ragebait, Philosophical, Motivational Content, Study With Me, Study Tips, Tips and Tricks, Medical Advice, Quiz, Travel Itineraries, Case Studies, Street Interview, What's In My Bag, Giveaways, Product Reviews, Service Reviews, Success Stories]
3) CREATOR PRESENCE (choose MULTIPLE)
[Hands-only, Creator-centric, Silhouettes, No visible people, Occasional appearances, Group content, Face only, Full body, Voice-only, Animated avatar, Family-focused, Pet-focused, Product-focused, Guest-starring, Cameo appearances, Behind the camera, Partial visibility]
4) ON-SCREEN TEXT / GRAPHICS (choose MULTIPLE - SELECT ONLY from provided list; do NOT output transcript)
["POV", Closed Captioning, Brand Logos, FTC Disclosures (#ad/#brandpartner), Subtitles, Emojis, Infographics, Statistics, Quotes, Timestamps, Pricing Information, Product Names, Usernames/Handles, Clickable Links, Countdown Timers, Call-to-Action Buttons, Animated Text, Lyric Displays, Screen Overlays, Lower Thirds, Pop-up Bubbles, Tutorial Steps, Recipe Ingredients, Titles/Headlines, End Screens, Watermarks, Location Tags, Age Restrictions, Content Warnings, Fact Boxes, Scoreboard/Leaderboard]
5) KEY VIDEO ELEMENTS (choose MULTIPLE)
[Creator, Product, Pet, Child, Text/Graphics, Music/Sound, Special Effects, Props, Food, Vehicles, Technology, Nature, Urban Environment, Artwork, Sports Equipment, Clothing/Fashion Items, Books, Musical Instruments, Fitness Equipment, Beauty Products, Home Decor, DIY Projects, Collectibles, Celebrity Guests, Expert Interviews, Audience Participation, Screen Recordings, Archival Footage, Medicine, Electronics, Drinks, Accessories, Travel Accessories, Transportation, Map, Routes, News/Headlines, Quotes, Hardware, Military, Nutrition, Healthcare, Property, Stocks, Cryptocurrency]
6) BRAND SAFETY CATEGORIES (choose MULTIPLE)
[Family-friendly, Not family-friendly, Mild language, Strong language, Sexual content, Violence, Drug use, Alcohol consumption, Revealing clothing, Controversial topics, Political content, Religious content, Graphic medical content, Dangerous stunts, Potential copyright issues, Unverified health claims, Financial advice, Sensitive social issues, Depictions of gambling, Weapons, Extreme sports, Conspiracy theories, Potential misinformation, Satire/parody]
7) BRAND TYPE (choose MULTIPLE)
[No brands featured, Multiple brands featured, Exclusive brand partnership, Competitor brands shown, Small/local brands, Luxury brands, Tech brands, Fashion brands, Beauty brands, Food and beverage brands, Automotive brands, Travel/hospitality brands, Fitness/health brands, Home goods brands, Entertainment brands, Financial services brands, Educational brands, Pet care brands, Sustainability-focused brands, Sports equipment brands, Gaming brands, Subscription services, Direct-to-consumer brands, Retail chains]
8) BRAND NAMES (free text; “None” if no brands visible or spoken)
9) CAPTION for the video (2–3 sentences, strictly factual, no assumptions)
10) Video Transcript:
    **Role:** You are a professional video transcriber and editor.
    **Task:** Create a verbatim transcript of the SPOKEN audio in this video file.
    **Strict Constraints:**
        1. **Audio Only:** Transcribe only what is spoken. If words are visible on screen (e.g. titles, lower thirds, subtitles, background signs, images on a laptop) but not audibly spoken, they must NOT appear in the transcript. Do NOT merge or reconcile audio with on-screen text. Visual text is NOT evidence of speech.
        2. **No Visual Descriptions:** Do not describe the scene, actions, or physical appearance of the speakers.
        3. **Clean Up:** Remove filler words (like "um," "uh," "ah") and false starts to make the text human-readable, but do not change the meaning or vocabulary used by the speakers.
        4. **Formatting:** Use proper punctuation and paragraph breaks to ensure readability.
    **Output:** Provide the transcript in plain text format.
────────────────────────────────────────────────────────
OUTPUT FORMAT — STRICT JSON ONLY
{
  "summary": "",
  "content_theme": "",
  "content_style": "",
  "creator_presence": "",
  "on_screen_text": [],
  "key_video_elements": [],
  "brand_safety": [],
  "brand_type": "",
  "brand_names": [],
  "transcript": ""
}
Return ONLY this JSON. No explanations.
"""</t>
  </si>
  <si>
    <t>The video shows a makeup application process. A person is applying various makeup products to another person's face, including eyeshadow, foundation, blush, contour, and lip products. The creator is explaining some of the techniques and products used, mentioning they are offering one-on-one lessons. The final look is described as glamorous, stunning, and elegant.</t>
  </si>
  <si>
    <t>['Creator-centric', 'Face only', 'Guest-starring']</t>
  </si>
  <si>
    <t>Creator, Beauty Products, Text/Graphics</t>
  </si>
  <si>
    <t>['Beauty brands', 'Direct-to-consumer brands']</t>
  </si>
  <si>
    <t>Huda Beauty, MAC, Maybelline</t>
  </si>
  <si>
    <t>Honestly, this is probably one of my favorite glam looks that I've done so far. Keep watching to see how I've done it. Also guys, I'm offering one-on-one lessons. So reach out to me on Instagram if you're interested. First things first, always prepping the eyelids with some concealer, setting it down with powder. I'm just going in with a few transition shades. I'm focusing them on the outer corner of the eye and then just slightly dragging it through. I build them up first to the intensity that I like before I move on to the darker color. Now I'm intensifying the eye makeup with some black shadow and a bit of liner, smudging it out and making sure it's all blended. I've also made custom lashes using individual lashes from Shein. At this point, her eyes are still matte because I wasn't sure if I wanted to add shimmer. I do add shimmer in the end. For foundation, I used Haus Labs and Estee Lauder foundation. And blush, I've used Morphe and the Made by}.$M$itchell curve case. This is like my favorite part of the makeup because I feel like you can really see everything coming together now with the contour and the concealer and the blush placement. It's looking so flawless and smooth. I'm just bronzing her up now. I'm just reinforcing everything that I've done with cream but with powder now. With the blush, I'll use like five different blushes. I'll use a matte blush, a shimmery blush. I just find that you get the perfect finish like that. For her lower lash line, I'm just using the same colors that I used for her eyeshadow. For the shimmer, I used the Haus Labs highlighter. And now for her lips, I used the "SPICY" from Morphe and just a bit of gloss from Maybelline. Honestly, this is just one of my favorite glams. It's just so stunning, so elegant, still glam without being too crazy. I'm obsessed. It's so stunning.</t>
  </si>
  <si>
    <t>The video shows a woman applying makeup. She starts with no makeup, then applies foundation, blush, eyeshadow, eyeliner, mascara, and lip gloss. She also uses a small brush to apply some product to her face.</t>
  </si>
  <si>
    <t>Beauty, Makeup Tutorials</t>
  </si>
  <si>
    <t>Tutorials, How-To Guides, Transformation Videos</t>
  </si>
  <si>
    <t>I'm gonna sit back with a blind. You put my hand in the cough. Can't touch.</t>
  </si>
  <si>
    <t>The video shows a person spearfishing in the ocean off the coast of South Florida. The person is underwater, wearing a wetsuit and mask, and is using a speargun. They initially spot a school of fish, then a parrotfish which they note cannot be speared. Later, they spot and attempt to spear a hogfish, but it swims away. The speaker mentions regulations regarding fish size.</t>
  </si>
  <si>
    <t>Recipes, Cooking, Baking, Food Reviews, Restaurant Tours, Pets, Dog Training, Cat Care, Exotic Animals, Travel, Budget Travel, Luxury Travel, Adventure Travel, Family, Parenting, Single Parenting, Large Family Life, Cars, Car Reviews, Auto Repair, Classic Cars, Fashion, Streetwear, High Fashion, Thrifting, Beauty, Skincare, Makeup Tutorials, Hair Styling, Fitness, Weightlifting, Yoga, CrossFit, Technology, Gadget Reviews, Coding Tutorials, Tech News, Gaming, Game Reviews, Let's Plays, Esports, Music, Instrument Tutorials, Music Production, Song Covers, DIY/Crafts, Home Improvement, Upcycling, Arts and Crafts, Education, Language Learning, Science Experiments, History Lessons, Humor, Stand-up Comedy, Pranks, Sketch Comedy, Lifestyle, Minimalism, Luxury Living, Van Life, Personal Finance, Budgeting Tips, Investing Basics, Cryptocurrency, Mental Health, Meditation, Therapy Insights, Self-Care Tips, Gardening, Urban Gardening, Permaculture, Plant Care, Sports, Sports Analysis, Athlete Interviews, Training Tips, Books, Book Reviews, Author Interviews, Reading Challenges, Art, Painting Tutorials, Digital Art, Art History, Photography, Camera Reviews, Photo Editing Tutorials, Photography Tips, Environmental, Sustainability Tips, Climate Change Awareness, Zero Waste Living, Politics, Political Analysis, Activism, Civic Education, Spirituality, Meditation Guides, Religious Teachings, New Age Practices, Business, Entrepreneurship, Marketing Tips, Small Business Advice, Science, Space Exploration, Biology Facts, Chemistry Experiments, Film/TV, Movie Reviews, TV Show Recaps, Behind-the-Scenes, Fashion, Outfit Ideas, Fashion History, Sustainable Fashion</t>
  </si>
  <si>
    <t>Vlogs, Day-in-the-Life, Tutorials, Reviews, Challenges, Storytelling, How-To Guides, Point-of-View (POV)</t>
  </si>
  <si>
    <t>Creator-centric, Full body, Face only, Partial visibility</t>
  </si>
  <si>
    <t>POV, Catching My Food, Location: South Florida</t>
  </si>
  <si>
    <t>Creator, Food, Technology, Text/Graphics, Nature, Vehicles, Props</t>
  </si>
  <si>
    <t>KRATKA</t>
  </si>
  <si>
    <t>Catching My Food. Location: South Florida. Whenever you're hunting, you want to make sure that you're hiding behind any rock or coral so that the fish that you want to eat doesn't see you. I locked onto a large parrot fish and while these guys do look big and tasty, you're not allowed to spear them because they're protected here in Florida. As I was following it, I ran out of air, so I decided to swim to the top and from the top of the water, I saw a massive school of fish. Sometimes there's something tasty hiding in the school, so I went down to take a closer look, but when I didn't find anything, I waved them off and continued what could be my breakfast. I stumbled across the most delicious fish in the sea, which is a lionfish. And when I took aim, I needed to make sure that I hit it good because these guys are destroying South Florida. That one fish wasn't going to be enough to feed me though, so I had to be extra stealthy as I went across the bottom of the sea, looking for what else I can eat. I swam up to this hogfish that thought it was completely camouflaged. And when it realized that I saw it, it turned its camouflage off and slowly started swimming away. Well, this fish is delicious. It has to be a minimum of 16 inches, and this guy is just a little too small.</t>
  </si>
  <si>
    <t>The video demonstrates how to create simple desktop applications with a cute aesthetic. It shows examples of an egg timer and a tic-tac-toe game, and mentions a calendar application. The creator explains that they have a full step-by-step tutorial on their YouTube channel covering setup to coding and styling, and that template code is available on GitHub. The video ends with the creator waving and saying goodbye.</t>
  </si>
  <si>
    <t>Technology, Coding Tutorials</t>
  </si>
  <si>
    <t>Tutorials, How-To Guides, Storytelling</t>
  </si>
  <si>
    <t>Creator-centric, Face only, Full body, Occasional appearances</t>
  </si>
  <si>
    <t>Easy cute little desktop app tutorial, desktop applications, Egg Timer &lt;3, what are you making today?, Soft Boiled, like these?, Tic tac toe, This is how to make, your very first desktop application, super beginner friendly, youtube: nashallery, preview, How to code ur first little desktop app from scratch (beginner friendly &amp; cozy aesthetic :3), I have a full step-by-step tutorial, from how to set up, everything that you'll need, n-app-template, to coding and styling, your very first desktop app, github: nasha-wanich, Or if you just want to, grab a template code, Electron App Template, IMPORTANT: Click &amp; open README.md for full instructions, A simple ElectronJS starter template for building desktop apps, This repo is part of my YouTube tutorial on setting up your first simple, beginner-friendly, and easy to customize for any app., Tutorial Video, This repo is a part of my Youtube tutorial on how to build a simple desktop app from scratch., This repo is only for the basic Electron template that you'll need if you are interested in a beginner demonstration tutorial too. See the link below:, https://github.com/nasha-wanich/little-calendar, See Youtube video:, Design File, Figma design file for this project: https://www.figma.com/file/..., What's in this repo, Little Calendar, A simple desktop calendar app built with HTML, CSS, JavaScript and Electron. This repo is part of my YouTube tutorial series on building your first Electron app., happy coding!, bye &lt;3</t>
  </si>
  <si>
    <t>Creator, Technology, Text/Graphics, Music/Sound, Props, Screen Recordings, Home Decor</t>
  </si>
  <si>
    <t>Figma, YouTube, GitHub</t>
  </si>
  <si>
    <t>Easy cute little desktop app tutorial.
Make desktop applications.
Like these?
This is how to make your very first desktop application.
Super beginner friendly.
Youtube: nashallery.
I have a full step-by-step tutorial on my YouTube.
From how to set up everything that you'll need.
To coding and styling your very first desktop app.
Github: nasha-wanich.
Or if you just want to grab a template code.
Electron app template.
Important: Click and open README.md for full instructions.
A simple ElectronJS starter template for building desktop apps.
This repo is part of my YouTube tutorial on setting up your first simple, beginner-friendly, and easy to customize for any app.
Tutorial Video.
This repo is part of my YouTube tutorial on how to build a simple desktop app from scratch.
This repo is only for the basic Electron template that you'll need if you are interested in a beginner demonstration tutorial too. See the link below:
https://github.com/nasha-wanich/little-calendar
See YouTube video.
Design file.
Figma design file for this project: https://www.figma.com/file/node-id=0-1&amp;p=f.
What's in this repo.
Little Calendar.
A simple desktop calendar app built with HTML, CSS, JavaScript and Electron. This repo is part of my YouTube tutorial series on building your first Electron app.
Happy coding!
Bye &lt;3</t>
  </si>
  <si>
    <t>The video shows a person creating a snowflake ornament from cardboard tubes. They cut and fold the cardboard tubes to form the shape of a snowflake. Then, they use a gold marker to add details to the snowflake. Finally, the completed snowflake ornament is hung with a red ribbon in front of a laptop displaying a fireplace scene.</t>
  </si>
  <si>
    <t>TikTok</t>
  </si>
  <si>
    <t>Creator, Text/Graphics, Music/Sound, Props, DIY Projects</t>
  </si>
  <si>
    <t>I've corrected it,
And then say
I love you, I mean it
And then say
Now I know what a fool I've been
But if you kissed me now
I know you'd fool me again</t>
  </si>
  <si>
    <t>The video shows various scenes related to education, including someone reading in a library, a close-up of grades with 'A' marks, a person working on a laptop and drinking wine, a person carrying books, and someone sleeping on a stack of study books. White text overlay on all clips reads "remember education is power".</t>
  </si>
  <si>
    <t>Occasional appearances</t>
  </si>
  <si>
    <t>remember education is power</t>
  </si>
  <si>
    <t>The video shows a group of young men in matching team jackets. One man speaks about what he would do if he didn't win, and then the group is shown holding a trophy. The video ends with close-ups of two of the men holding smaller golden objects.</t>
  </si>
  <si>
    <t>['Gaming', 'Esports']</t>
  </si>
  <si>
    <t>['Vlogs', 'Day-in-the-Life', 'Storytelling']</t>
  </si>
  <si>
    <t>['Creator-centric', 'Full body', 'Group content', 'Face only']</t>
  </si>
  <si>
    <t>Titles/Headlines, Usernames/Handles</t>
  </si>
  <si>
    <t>Creator, Text/Graphics, Food, Technology, Clothing/Fashion Items</t>
  </si>
  <si>
    <t>A woman is shown in a gym performing a deadlift. She approaches the barbell, grips it, and lifts it off the ground. She then moves into a squat position with the barbell overhead and stands back up. Finally, she lowers the barbell to the ground.</t>
  </si>
  <si>
    <t>Fitness</t>
  </si>
  <si>
    <t>Workout Routines</t>
  </si>
  <si>
    <t>Creator, Text/Graphics, Music/Sound, Food, Technology, Fitness Equipment</t>
  </si>
  <si>
    <t>Hold it.</t>
  </si>
  <si>
    <t>A person eats chicken wings and fries with dipping sauces. They are shown dipping various food items into sauces and eating them. The video includes a rating of 8.8/10.</t>
  </si>
  <si>
    <t>Recipes, Cooking, Food Reviews</t>
  </si>
  <si>
    <t>Vlogs, Taste Tests</t>
  </si>
  <si>
    <t>POV, Rate: 8.8/10, Eat Wingstop for the whole day!</t>
  </si>
  <si>
    <t>Creator, Food, Text/Graphics, Props</t>
  </si>
  <si>
    <t>Food and beverage brands</t>
  </si>
  <si>
    <t>Eat Wingstop for the whole day! This might cause some other things to stop, but let's eat. Food hack time. I know you want to bite. Rate 8.8 out of 10.</t>
  </si>
  <si>
    <t>The video shows a person demonstrating how to curl their hair using a curling iron. They section their hair and use the curling iron to create waves. The person also sprays hairspray on their finished curls.</t>
  </si>
  <si>
    <t>Tutorials, How-To Guides</t>
  </si>
  <si>
    <t>how i curl my hair</t>
  </si>
  <si>
    <t>Beauty brands</t>
  </si>
  <si>
    <t>how I curl my hair, big black boots, long brown hair, and she's so sweet with her, yeah back to stand, I know when, yeah, I know when, you're gonna be my girl. I'm gonna be my girl.</t>
  </si>
  <si>
    <t>The video shows a model walking on a runway, showcasing an elaborate blue outfit with scale-like patterns and wing-like structures on the shoulders. The lighting is predominantly blue.</t>
  </si>
  <si>
    <t>Full body</t>
  </si>
  <si>
    <t>No audio.</t>
  </si>
  <si>
    <t>The video shows a person playing the piano and demonstrates how to play the song "champagne coast" by blood orange. Text overlays display chord names and instructions.</t>
  </si>
  <si>
    <t>['Music', 'Education']</t>
  </si>
  <si>
    <t>['Hands-only', 'Voice-only']</t>
  </si>
  <si>
    <t>Titles/Headlines, Product Names, Tutorial Steps</t>
  </si>
  <si>
    <t>Pearl River</t>
  </si>
  <si>
    <t>How to play champagne coast by blood orange.
Practice and slowly pick in the tempo.
Should sound like this.</t>
  </si>
  <si>
    <t>A shirtless man lies on his back in a bed filled with a turquoise liquid, appearing to float. He moves his hands slightly and expresses surprise and enjoyment.</t>
  </si>
  <si>
    <t>Creator, Props, Food</t>
  </si>
  <si>
    <t>Wow.
No way.
This is exactly what I needed.</t>
  </si>
  <si>
    <t>The creator expresses boredom and decides to learn 1 to 10 in five different languages: French, Russian, Japanese, German, and Italian. They attempt to pronounce the numbers in French, then Russian, and finally German and Italian. The video ends with the creator thanking the viewers.</t>
  </si>
  <si>
    <t>['Education', 'Language Learning']</t>
  </si>
  <si>
    <t>['Vlogs', 'Tutorials']</t>
  </si>
  <si>
    <t>['Creator-centric', 'Face only']</t>
  </si>
  <si>
    <t>Brand Logos, Titles/Headlines, Lower Thirds</t>
  </si>
  <si>
    <t>Creator, Text/Graphics, Technology</t>
  </si>
  <si>
    <t>Hi guys. I'm very bored and have nothing better to do in my life right now. So, what's more fun than to watch me learn one through 10 in five different languages. French, Russian, Japanese, German and Italian. Let's start with French. Uno, deux, trois, quatre, cinq, six, sept, huit, neuf, dix. I'm going to learn the only three that I know, so that's uno, dos, tres, quatre, cinq, six, sept, huit, neuf, dix. I'm going to try Japanese. Ichi, ni, san, shi, go, roku, nana, hachi, kyu, ju. My pronunciation might be like very off, but. Let's do German now. Eins, zwei, drei, vier, f√ºnf, sechs, sieben, acht, neun, zehn. Last but not least is Italian. I love Italy so much. Uno, due, tre, quattro, cinque, sei, sette, otto, nove, dieci. That concludes my video. Thank you guys so much for watching. If you guys liked this, I feel a lot of practice to do, but I would like to choose one of these languages and actually learn it. But yeah. Bye bye.</t>
  </si>
  <si>
    <t>The video shows the interior of an airplane's first-class cabin. A flight attendant in uniform opens a door to reveal a private suite. The suite features a reclining seat, a vanity area with a mirror and lit makeup station, a television screen displaying a welcome message, and a pair of headphones on a desk.</t>
  </si>
  <si>
    <t>Vlogs, Tutorials, Room Tours</t>
  </si>
  <si>
    <t>Welcome, i, c</t>
  </si>
  <si>
    <t>Creator, Technology, Food, Clothing/Fashion Items, Home Decor, Props, Text/Graphics, Music/Sound</t>
  </si>
  <si>
    <t>This video explains how to make your first beat in three simple steps. It covers starting with a basic drum kit, laying down a kick and snare pattern, adding extra kicks for bounce, and then adding hi-hats on every beat. The video then explains how to create a bassline using a synth bass preset and suggests using only three or four notes for simplicity. Finally, it encourages viewers to add a melody using an instrument like a piano or synth, and then to create and share their first beat.</t>
  </si>
  <si>
    <t>Music Production, DIY/Crafts</t>
  </si>
  <si>
    <t>POV, making your first beat, can be intimidating, but it's easier than, you think, today, I'm breaking it down into, three simple steps, anyone can follow, step one, start from the drums, pick a basic drum kit, go for a kick, and a hi-hat, lay down a basic, kick and snare pattern, start with the kick, on beat 1, and the snare on beat 3, if you want to add a bounce, add some extra kicks, and add the hi-hats, on every beat, nothing fancy, but it does have a groove, the bassline is what, makes your beat, feel powerful, start with a synth bass, I like the wonk bass, preset on Ableton, keep your bassline, simple, it's your first beat, I'll use the notes A, C and G, now add a melody, pick an instrument, like piano or a synth, I'll just pick piano, and here's a trick, try to stick to only, 3 or 4 notes, go make your first beat, post it and tag me, I want to hear, what you create</t>
  </si>
  <si>
    <t>Creator, Technology, Music/Sound, Text/Graphics</t>
  </si>
  <si>
    <t>Making your first beat can be intimidating but it's easier than you think. Today I'm breaking it down into three simple steps anyone can follow. Step one: start from the drums. Pick a basic drum kit, go for a kick and a hi-hat. Lay down a basic kick and snare pattern. Start with the kick on beat 1 and the snare on beat 3. If you want to add a bounce, add some extra kicks and add the hi-hats on every beat. Nothing fancy, but it does have a groove. The bassline is what makes your beat feel powerful. Start with a synth bass. I like the Wonk Bass preset on Ableton. Keep your bassline simple, it's your first beat. I'll use the notes A, C and G. Now add a melody. Pick an instrument like piano or a synth. I'll just pick piano. And here's a trick: try to stick to only 3 or 4 notes. Go make your first beat, post it and tag me. I want to hear what you create.</t>
  </si>
  <si>
    <t>The video shows an interior view of a restaurant with people dining at tables. Through a large window, the Manhattan Bridge and a body of water are visible. The lighting is dim, with candles on the tables and pendant lights overhead. There is text on the screen that reads "the vibe at this restaurant in brooklyn" and a username at the bottom.</t>
  </si>
  <si>
    <t>Travel, Food Reviews</t>
  </si>
  <si>
    <t>Creator, Food, Text/Graphics, Urban Environment, Home Decor</t>
  </si>
  <si>
    <t>the vibe at this restaurant in brooklyn</t>
  </si>
  <si>
    <t>The video showcases a variety of steakhouse dishes including a Banijr Cheese Burger, Premium Meat Platter, Angus Short Ribs with Mash, Truffle Mushroom Pasta with Ribeye Steak, and Oyster Blade Steak with Fried Rice. Several drinks are also visible, and the text overlay indicates the restaurant is Muslim-owned and HALAL.</t>
  </si>
  <si>
    <t>Vlogs, Montages, How-To Guides</t>
  </si>
  <si>
    <t>This Muslim-owned HALAL steakhouse is a MUST try, heyyitskey, Chiko Pollo Original, Banijr Cheese Burger, Premium Meat Platter, Angus Short Ribs with Mash, Truffle Mushroom Pasta with Ribeye Steak, Oyster Blade Steak with Fried Rice</t>
  </si>
  <si>
    <t>Creator, Product, Text/Graphics, Music/Sound, Food, Home Decor</t>
  </si>
  <si>
    <t>No blurry, no blurry. No body else make me feel like no blurry, no new brand. No body else make me feel like no blurry, no new brand. No body else make me feel like no blurry, no new brand. No body else make me feel like no blurry, no new brand. No body else make me feel like no blurry, no new brand. No body else make me feel like no blurry, no new brand.</t>
  </si>
  <si>
    <t>Four individuals are shown posing and dancing. The person in the foreground, wearing a white t-shirt and black pants, is the focus. Two other individuals are behind them, and a fourth joins at the end. The video appears to be a short-form clip, possibly for social media.</t>
  </si>
  <si>
    <t>Shorts/Reels/TikToks</t>
  </si>
  <si>
    <t>Creator, Clothing/Fashion Items, Text/Graphics</t>
  </si>
  <si>
    <t>Hey y'all, let's get this fit off
watch
kicking off my peers, my influence
watch
all my your let us skip</t>
  </si>
  <si>
    <t>Two individuals are shown on yoga mats in a studio. One, on the left, is performing a sequence of movements, while the other, on the right, demonstrates a different set of movements. On-screen text indicates "Pilates vs Yoga" and "Sun Salutation."</t>
  </si>
  <si>
    <t>Fitness, Yoga</t>
  </si>
  <si>
    <t>Sun Salutation, Pilates, vs, Yoga, SOULIFT</t>
  </si>
  <si>
    <t>Creator, Text/Graphics, Fitness Equipment, Home Decor</t>
  </si>
  <si>
    <t>TESTING_4 Issues</t>
  </si>
  <si>
    <t>Not picking up on brand logos on  clothing, sometimes on objects</t>
  </si>
  <si>
    <t>On screen text attribute still picks up a bunch of transcript or words spoken in the video</t>
  </si>
  <si>
    <t>Not recognising upper body or half body</t>
  </si>
  <si>
    <t>Still accidentally leaves out some words in the transcription</t>
  </si>
  <si>
    <t>It's recognising music playing as part of the transcription attribute</t>
  </si>
  <si>
    <t>Content theme can either overcategorise or undercategorise</t>
  </si>
  <si>
    <t>s</t>
  </si>
  <si>
    <t>A makeup artist applies a full face of makeup on a model, focusing on eye makeup, foundation, contour, blush, and lipstick. The video demonstrates various techniques for achieving a glamorous look.</t>
  </si>
  <si>
    <t>['Beauty']</t>
  </si>
  <si>
    <t>['Tutorials', 'Demonstration', 'How-To Guides']</t>
  </si>
  <si>
    <t>['Creator-centric', 'Upper Body']</t>
  </si>
  <si>
    <t>Huda Beauty, MAC</t>
  </si>
  <si>
    <t>Honestly, this is probably one of my favorite glam looks that I've done so far. Keep watching to see how I've done it. Also guys, I'm offering one-on-one lessons. So reach out to me on Instagram if you're interested. First things first, always prepping the eyelids with some concealer, setting it down with powder. I'm just going in with a few transition shades. I'm focusing them on the outer corner of the eye and then just slightly dragging it through. I build them up first to the intensity that I like before I move on to the darker color. Now I'm intensifying the eye makeup with some black shadow and a bit of liner, smudging it out and making sure it's all blended. I've also made custom lashes using individual lashes from Shein. At this point, her eyes are still matte because I wasn't sure if I wanted to add shimmer. I do add shimmer in the end. For foundation, I used Haus Labs and Estee Lauder, and blush. I've used Morphe and the Made by Meetrow Curve case. This is like my favorite part of the makeup because I feel like you can really see everything coming together now with the contour and the concealer and the blush placement. It's looking so flawless and smooth. I'm just bronzing her up now. I'm just reinforcing everything that I've done with cream, but with powder now. With the blush, I'll use like five different blushes. I'll use a matte blush, a shimmery blush. I just find that you get the perfect finish like that. For her lower lash line, I'm just using the same colors that I used for her eyeshadow. For the shimmer, I used the Haus Labs highlighter and just a bit of gloss from Maybelline. Honestly, this is just one of my favorite glams. It's just so stunning, so elegant, still glam without being too crazy. I'm obsessed. I'm really just reinforcing everything that I've done with cream, but with powder now. With the blush, I'll use like five different blushes. I'll use a matte blush, a shimmery blush. I just find that you get the perfect finish like that. For her lower lash line, I'm just using the same colors that I used for her eyeshadow. For the shimmer, I used the Haus Labs highlighter and just a bit of gloss from Maybelline. Honestly, this is just one of my favorite glams. It's just so stunning, so elegant, still glam without being too crazy. I'm obsessed.</t>
  </si>
  <si>
    <t>The video shows a woman applying makeup. She starts with a bare face and then applies blush and lipstick, completing a glamorous look.</t>
  </si>
  <si>
    <t>['Beauty', 'Skincare', 'Makeup Tutorials']</t>
  </si>
  <si>
    <t>['Tutorials', 'Get Ready With Me', 'Demonstration']</t>
  </si>
  <si>
    <t>['Face only']</t>
  </si>
  <si>
    <t>Beauty Products</t>
  </si>
  <si>
    <t>[]</t>
  </si>
  <si>
    <t>I'm gonna sit back with a blind. You put my hand in the cough. Can't can't touch.</t>
  </si>
  <si>
    <t>Car Racing.mp4</t>
  </si>
  <si>
    <t>https://linqia-video-analyser-bucket.s3.us-east-2.amazonaws.com/Videos%20for%20Analysis/Car%20Racing.mp4</t>
  </si>
  <si>
    <t>Two cars are engaged in a drift race. One car, identified as the Formula Drift Pro Championship, is in the lead. The other car, driven by Jonathan Castro, is attempting to catch up and overtake. The leading car experiences tire fire as it drifts, described as "literally figuratively on fire."</t>
  </si>
  <si>
    <t>['Sports']</t>
  </si>
  <si>
    <t>['Transitions', 'Demonstration']</t>
  </si>
  <si>
    <t>['No visible people']</t>
  </si>
  <si>
    <t>Brand Logos, Titles/Headlines, Screen Overlays</t>
  </si>
  <si>
    <t>Vehicles, Text/Graphics</t>
  </si>
  <si>
    <t>['Sports equipment brands']</t>
  </si>
  <si>
    <t>Formula Drift</t>
  </si>
  <si>
    <t>Here we go. The Royal. Jonathan Castro. Who's coming out on top? Round three. The Formula Drift Pro Championship. Ben Noah initiates. Castro works his way up to the top. Not as close. Ben Noah, settled in. Right there, bathing in the smoke. Castro, tire fire, early on. Transitions into the second, inside clip. Ben Noah. Finding that side brake. Ripping on home. He is on fire. Literally and figuratively.</t>
  </si>
  <si>
    <t>A diver is shown spearfishing in the ocean. The diver initially hunts a parrotfish but notes it is protected. The diver then searches for other food sources and successfully spearfishes a hogfish, which is described as delicious but slightly too small due to regulations.</t>
  </si>
  <si>
    <t>['Recipes', 'Food']</t>
  </si>
  <si>
    <t>['Vlogs', 'Demonstration']</t>
  </si>
  <si>
    <t>['Full body', 'Creator-centric']</t>
  </si>
  <si>
    <t>Food, Technology, Nature, Creator</t>
  </si>
  <si>
    <t>Kratka</t>
  </si>
  <si>
    <t>Catching my food. Whenever you're hunting, you want to make sure that you're hiding behind any rock or coral so that the fish that you want to eat doesn't see you. I locked onto a large parrot fish and while these guys do look big and tasty, you're not allowed to spear them because they're protected here in Florida. As I was following it, I ran out of air, so I decided to swim to the top. And from the top of the water, I saw a massive school of fish. Sometimes there's something tasty hiding in the school, so I went down to take a closer look. But when I didn't find anything, I waved them off and continued my search for what could be my breakfast. I stumbled across the most delicious fish in the sea, which is a lionfish. And when I took aim, I needed to make sure that I hit it good because these guys are destroying South Florida. That one fish wasn't going to be enough to feed me though. So I had to be extra stealthy as I went across the bottom of the sea floor looking for what else I can eat. I swam up to this hogfish that thought it was completely camouflage. And when it realized that I saw it, it turned its camouflage off and slowly started swimming away from me. Well, this fish is delicious. It has to be a minimum of 16 inches and this guy is just a little too small.</t>
  </si>
  <si>
    <t>The video shows examples of cute desktop applications, such as an egg timer and a tic-tac-toe game, with a pink and purple aesthetic. It then transitions to a screen recording of a YouTube video tutorial on how to code a first desktop app from scratch, covering setup, coding, and styling. The creator also mentions a GitHub repository with template code for those who want to grab it directly and offers a full step-by-step tutorial on YouTube.</t>
  </si>
  <si>
    <t>['Technology', 'DIY/Crafts']</t>
  </si>
  <si>
    <t>['Tutorials', 'Vlogs', 'Montages']</t>
  </si>
  <si>
    <t>['Creator-centric', 'Face only', 'Upper Body']</t>
  </si>
  <si>
    <t>Titles/Headlines, Usernames/Handles, Call-to-Action Buttons</t>
  </si>
  <si>
    <t>Creator, Technology, Text/Graphics, Screen Recordings</t>
  </si>
  <si>
    <t>Easy cute little desktop app tutorial. Desktop applications like these. This is how to make your very first desktop application. Super beginner friendly. Youtube: nashallery. I have a full step-by-step tutorial on my YouTube from how to set up everything that you'll need to coding and styling your very first desktop app. Or if you just want to grab a template code. Github: nasha-wanich. The template code. They are also on my GitHub. Happy coding! Bye &lt;3</t>
  </si>
  <si>
    <t>A person is crafting a snowflake ornament from a toilet paper roll. They cut the roll into strips, fold them, and assemble them into a snowflake shape. The person then uses a gold marker to add detail to the snowflake and attaches a red ribbon for hanging</t>
  </si>
  <si>
    <t xml:space="preserve">   "Tutorials",
    "Demonstration"</t>
  </si>
  <si>
    <t xml:space="preserve">  "Hands-only"</t>
  </si>
  <si>
    <t xml:space="preserve">    "DIY Projects",
    "Text/Graphics"</t>
  </si>
  <si>
    <t>The video shows several short clips of individuals engaged in educational activities. These include reading books in a library, looking at academic grades, studying on a laptop, carrying books, and a person sleeping on a stack of textbooks. A consistent overlay of text reads "remember education is power."</t>
  </si>
  <si>
    <t>['Education', 'Study', 'Student Life']</t>
  </si>
  <si>
    <t>['Montages', 'Shorts/Reels/TikToks']</t>
  </si>
  <si>
    <t>['Face only', 'Upper Body', 'Partial visibility']</t>
  </si>
  <si>
    <t>Quotes, Titles/Headlines</t>
  </si>
  <si>
    <t>Text/Graphics, Books, Technology, Students</t>
  </si>
  <si>
    <t>Emirates.mp4</t>
  </si>
  <si>
    <t>https://linqia-video-analyser-bucket.s3.us-east-2.amazonaws.com/Videos%20for%20Analysis/Emirates.mp4</t>
  </si>
  <si>
    <t>The video showcases pilot terminology, beginning in a cockpit where a pilot asks "Do you speak aviation?" and transitions to inside the plane cabin. A pilot walks through the cabin, and the term "PAX" is shown with its definition "PASSENGERS." Next, a pilot in the cockpit explains "ILS" as "INSTRUMENT LANDING SYSTEM." A pilot in a darker uniform explains "MDA" as "MINIMUM DESCENT ALTITUDE." Finally, a pilot inside the cockpit explains "ETD" as "ESTIMATED TIME OF DEPARTURE." The video concludes with a pilot on the tarmac by a jet engine, with "GS" defined as "GROUND SPEED."</t>
  </si>
  <si>
    <t>['Aviation', 'Education']</t>
  </si>
  <si>
    <t>['Tutorials', 'Demonstration', 'Educational Animations']</t>
  </si>
  <si>
    <t>['Face only', 'Full body', 'Upper Body']</t>
  </si>
  <si>
    <t>Titles/Headlines, Tutorial Steps</t>
  </si>
  <si>
    <t>Creator, Technology, Text/Graphics, Transportation</t>
  </si>
  <si>
    <t>['Travel/hospitality brands']</t>
  </si>
  <si>
    <t>Do you speak aviation?
Let's find out.
PAX.
PASSENGERS.
ILS.
INSTRUMENT LANDING SYSTEM.
MDA.
MINIMUM DESCENT ALTITUDE.
ETD.
ESTIMATED TIME OF DEPARTURE.
GS.
GROUND SPEED.</t>
  </si>
  <si>
    <t>The video shows a group of young men, likely esports players, in team apparel. One person is seen writing on a large board with many game titles listed. The group is then shown posing with a trophy and smaller golden awards.</t>
  </si>
  <si>
    <t>['Gaming', 'Sports']</t>
  </si>
  <si>
    <t>['Vlogs', 'Montages']</t>
  </si>
  <si>
    <t>Creator, Text/Graphics, Food, Sports Equipment, Technology, Music/Sound</t>
  </si>
  <si>
    <t>['Tech brands', 'Fashion brands']</t>
  </si>
  <si>
    <t>Mercedes-Benz</t>
  </si>
  <si>
    <t>A woman in a gym prepares to lift a heavily weighted barbell. She crouches down, grips the bar, and then stands up with the weight overhead, holding the squat position before standing fully upright.</t>
  </si>
  <si>
    <t>['Fitness', 'Sports']</t>
  </si>
  <si>
    <t>['Demonstration', 'Workout Routines']</t>
  </si>
  <si>
    <t>Creator, Fitness Equipment, Food</t>
  </si>
  <si>
    <t>No audio</t>
  </si>
  <si>
    <t>The video shows a young man in a car surrounded by a large amount of Wingstop food, including chicken wings, tenders, fries, and corn. He is seen dipping various food items into ranch and cheese sauces, eating them with expressive reactions. He also combines different food items with sauces before eating.</t>
  </si>
  <si>
    <t>['Food', 'Recipes']</t>
  </si>
  <si>
    <t>['Mukbang', 'Product Demos']</t>
  </si>
  <si>
    <t>['Creator-centric', 'Full body']</t>
  </si>
  <si>
    <t>Quotes, Rating</t>
  </si>
  <si>
    <t>Food, Creator, Technology</t>
  </si>
  <si>
    <t>Eat Wingstop for the whole day!
This might cause some other things to stop, but
let's eat.
food hack time
Rate 8.8/10</t>
  </si>
  <si>
    <t>A woman demonstrates how to curl her hair using a curling iron. She applies hairspray and then styles her long, wavy hair.</t>
  </si>
  <si>
    <t>['Tutorials', 'Demonstration']</t>
  </si>
  <si>
    <t>['Full body']</t>
  </si>
  <si>
    <t>Creator, Technology, Beauty Products</t>
  </si>
  <si>
    <t>How I curl my hair.
Big black boots.
Long brown hair.
She's so sweet.
Yeah, back then.
But you were with another man.
I know where I am.
I wanna see.
I am now here and God.
Oh, I can see.
I know where I am.
I'm gonna be my girl.</t>
  </si>
  <si>
    <t>A model walks down a runway wearing a blue, scaled, avant-garde outfit with wing-like shoulder details. The lighting is predominantly blue.</t>
  </si>
  <si>
    <t>['Fashion']</t>
  </si>
  <si>
    <t>['Demonstration']</t>
  </si>
  <si>
    <t>Clothing/Fashion Items, Creator, Text/Graphics</t>
  </si>
  <si>
    <t>This video demonstrates how to play the song "Champagne Coast" by Blood Orange on a piano. The footage shows a close-up of a person's hands playing the keys, with on-screen text indicating the notes being played and providing brief instructions. The video covers practicing and adjusting the tempo to achieve the correct sound.</t>
  </si>
  <si>
    <t>['Music', 'Instrument Tutorials']</t>
  </si>
  <si>
    <t>['Tutorials', 'Demonstration', 'How-To Guides', 'Tips and Tricks']</t>
  </si>
  <si>
    <t>['Hands-only', 'Partial visibility']</t>
  </si>
  <si>
    <t>Tutorial Steps, Titles/Headlines</t>
  </si>
  <si>
    <t>Creator, Music/Sound, Technology, Text/Graphics</t>
  </si>
  <si>
    <t>How to play champagne coast by blood orange. Now together. Practice and slowly pick in the tempo. Should sound like this.</t>
  </si>
  <si>
    <t>A shirtless man lies back and floats on a bed filled with a translucent blue liquid, appearing to relax.</t>
  </si>
  <si>
    <t>['Lifestyle']</t>
  </si>
  <si>
    <t>['Vlogs', 'Day-in-the-Life']</t>
  </si>
  <si>
    <t>Creator, Food</t>
  </si>
  <si>
    <t>Wow.
This is exactly what I needed.</t>
  </si>
  <si>
    <t>The creator is learning to pronounce numbers 1-10 in different languages. She tries French, Russian, German, and Italian, using online resources and demonstrating her attempts by speaking the numbers and gesturing.</t>
  </si>
  <si>
    <t>['Tutorial', 'Vlogs', 'Demonstration']</t>
  </si>
  <si>
    <t>Titles/Headlines, Subtitles</t>
  </si>
  <si>
    <t>Creator, Technology, Text/Graphics, Food</t>
  </si>
  <si>
    <t>Hi guys. I'm very bored and have nothing better to do with my life right now. So what's more fun than to watch me learn one through 10 in five foreign languages. I'm gonna try my best. Please don't judge. French. Let's start with French. One, two, three, four, five, six, seven, eight, nine, 10. Okay. French numbers one through five. Six, seven, eight, nine, 10. That concludes my video. Thanks so much for watching. If you guys liked the end of this. I feel like I've a lot of practice to do, but I would like to choose one of these languages and actually learn it, but yeah. Bye bye. Okay. This is Russian, btw. I'm gonna try my best. Please don't judge. Ah. Dva. Tri. Chetyre. Pyat. Shest. Sem. Vosem. Devyat. Desyat. Japanese. Ichini, san, shi, go, roku, nana, hachi, ku, ju. My pronunciation might be very off, but let's do German now. Eins, drei, dry, fier, fuf, sechs, sieben, acht, neun, zehn. Do you guys like my hand motions? I was very concentrated. That concludes my video. Thanks so much for watching. If you guys liked the end of this. I feel like I've a lot of practice to do, but I would like to choose one of these languages and actually learn it, but yeah. Bye bye. Okay. This is Russian, btw. I'm gonna try my best. Please don't judge. Ah. Dva. Tri. Chetyre. Pyat. Shest. Sem. Vosem. Devyat. Desyat. Japanese. Ichini, san, shi, go, roku, nana, hachi, ku, ju. My pronunciation might be very off, but let's do German now. Eins, drei, dry, fier, fuf, sechs, sieben, acht, neun, zehn. Do you guys like my hand motions? I was very concentrated. That concludes my video. Thanks so much for watching. If you guys liked the end of this. I feel like I've a lot of practice to do, but I would like to choose one of these languages and actually learn it, but yeah. Bye bye.</t>
  </si>
  <si>
    <t>A flight attendant in uniform opens the door to a private suite on an airplane. The suite features a reclining seat, a desk with a mirror and screen, and headphones. The video pans across the interior of the suite, showcasing its amenities.</t>
  </si>
  <si>
    <t>['Travel']</t>
  </si>
  <si>
    <t>['Upper Body']</t>
  </si>
  <si>
    <t>Creator, Technology, Food, Travel Accessories</t>
  </si>
  <si>
    <t>Med Student Day In Life.mp4</t>
  </si>
  <si>
    <t>https://linqia-video-analyser-bucket.s3.us-east-2.amazonaws.com/Videos%20for%20Analysis/Med%20Student%20Day%20In%20Life.mp4</t>
  </si>
  <si>
    <t>The video follows a medical student through a typical day. It begins with her waking up at 6:30 AM, getting ready, and packing a lunch and snacks. She makes coffee and has a breakfast sandwich on her commute. The day includes lectures from 8 AM to 12 PM, followed by an hour lunch break. The student attends anatomy lab, a study session, and then goes home to shower and eat pasta for dinner. She spends the rest of the evening studying before going to bed around 10:30 PM.</t>
  </si>
  <si>
    <t>['Lifestyle', 'Education']</t>
  </si>
  <si>
    <t>['Vlogs', 'Day-in-the-Life', 'Tutorials']</t>
  </si>
  <si>
    <t>Creator, Food, Technology, Study</t>
  </si>
  <si>
    <t>Hey guys! Today was our second day of lecture in our first year medical student. I'm gonna try to do better because it seems like you guys really like the last video. Today was our second day of lecture. Our dress code is business casual, so I got ready for that in the morning. I packed my lunch, snacks, and made my coffee with this homemade strawberry syrup that one of my classmates made for me, which was so sweet of her. I ate a breakfast sandwich on the drive to school. We had lectures from 8 AM to 12 PM, and then we had an hour of lunch. Today was our first anatomy lab, so everyone changed into their scrubs, which was the coolest experience ever. I'm so grateful we have donors that we get to learn from. After lab, we headed into a study session to review the lectures from this morning for a few hours. And then it was finally time to go home and take a shower. Tyler made dinner for me, I had pasta and salad. And then it was right back to studying for the rest of the night. The amount of content is so overwhelming. It really is like drinking out of a fire hose. You learn so much and just one lecture and it really is like a full-time job, but I'm so lucky and happy to even be in this position, especially since I worked so hard for it. I did some Anki until I went to bed around 10:30 PM. That was my day. Bye.</t>
  </si>
  <si>
    <t>A tutorial on how to make your first beat. The video breaks down the process into three simple steps: starting with drums, adding a bassline, and then adding a melody. The presenter demonstrates how to create a basic drum pattern, select a synth bass preset, and compose a simple melody using a limited number of notes.</t>
  </si>
  <si>
    <t>['Tutorials', 'How-To Guides', 'Demonstration']</t>
  </si>
  <si>
    <t>Making your first beat can be intimidating, but it's easier than you think. Today, I'm breaking it down into three simple steps anyone can follow. Step one, start from the drums. Pick a basic drum kit. Go for a kick, a snare, and a hi-hat. Lay down a basic kick and snare pattern. Start with the kick on beat one and the snare on beat three. If you want to add a bounce, add some extra kicks and add the hi-hats on every beat. Nothing fancy, but it does have a groove. The bassline is what makes your beat feel powerful. Start with a synth bass. I like the "wonk bass" preset on Ableton. Keep your bassline simple, it's your first beat. I'll use the notes A, F, C, and G. Now add a melody. Pick an instrument like piano or a synth. I'll just pick piano, and here's a trick: try to stick to only three or four notes. Go make your first beat, post it, and tag me. I want to hear what you create.</t>
  </si>
  <si>
    <t>Parenting Advice.mp4</t>
  </si>
  <si>
    <t>https://linqia-video-analyser-bucket.s3.us-east-2.amazonaws.com/Videos%20for%20Analysis/Parenting%20Advice.mp4</t>
  </si>
  <si>
    <t>The video discusses parental mindset and offers advice on how to shift from a "lazy parent" approach to a more positive and gratitude-focused one. It suggests engaging children in activities like gratitude journals and building micro-systems in the home to foster learning and appreciation.</t>
  </si>
  <si>
    <t>['Family', 'Parenting', 'Mental Health', 'Lifestyle']</t>
  </si>
  <si>
    <t>['Tutorials', 'Talking-Head', 'Demonstration']</t>
  </si>
  <si>
    <t>Creator, Child, Text/Graphics, Technology, Home Decor, Food, Books</t>
  </si>
  <si>
    <t>Stop being a lazy parent. Lazy parenting is not a mindset. They're not focusing on all the things. I'll buy you a toy. I'll give you an iPad. I'll put on cartoons. That's why your kids are messed up. Take all that off the table, focus on positive affirmations. Focus on positive thinking. Have them work on gratitude journals. Have them work on appreciation. Build systems where children learn to learn gratitude and appreciation and watch things shift. We're clogging our children's filters with all the external things. Not a priority on the thing. Not the most important thing.</t>
  </si>
  <si>
    <t>Plant.mp4</t>
  </si>
  <si>
    <t>https://linqia-video-analyser-bucket.s3.us-east-2.amazonaws.com/Videos%20for%20Analysis/Plant.mp4</t>
  </si>
  <si>
    <t>The video demonstrates several methods for propagating Pothos plants. It shows how to take cuttings from a mature plant, and then propagate them by placing them in soil within a takeout container to create a mini-greenhouse, or by placing them in a jar of water.</t>
  </si>
  <si>
    <t>['Gardening', 'Plant Care']</t>
  </si>
  <si>
    <t>Creator, Plants, DIY Projects, Food</t>
  </si>
  <si>
    <t>Anyone who has grown a Pothos knows when you bring home one, you're actually bringing home many, many more. Before you know it, you'll have to give it a trim and you can't just throw those cuttings away. You can grow more plants. You can propagate them right into soil. My favorite method is using an old takeout container to create a mini greenhouse. The easiest method is to just throw them into a jar of water, or you can make a prop box using damp sphagnum moss. Do you have a favorite method?</t>
  </si>
  <si>
    <t>The video shows an interior view of a restaurant with large windows offering a view of a bridge and city skyline at dusk. People are seated at tables, and the ambiance is lit by ambient lighting and candles. Text overlay reads "the vibe at this restaurant in brooklyn".</t>
  </si>
  <si>
    <t>['Lifestyle', 'Travel']</t>
  </si>
  <si>
    <t>['Vlogs', 'Talking-Head']</t>
  </si>
  <si>
    <t>['Occasional appearances']</t>
  </si>
  <si>
    <t>Food, Home Decor, Text/Graphics, Urban Environment</t>
  </si>
  <si>
    <t>The vibe at this restaurant in Brooklyn
Something here in me to you</t>
  </si>
  <si>
    <t>This video showcases a variety of dishes at a Muslim-owned HALAL steakhouse. The featured items include a "Banjir Cheese Burger" with fries, a "Premium Meat Platter" with several cuts of steak, "Angus Short Ribs with Mash," "Truffle Mushroom Pasta with Ribeye Steak," and "Oyster Blade Steak with Fried Rice."</t>
  </si>
  <si>
    <t>['Recipes', 'Cooking', 'Food Reviews']</t>
  </si>
  <si>
    <t>['Montages', 'Food', 'Shorts/Reels/TikToks']</t>
  </si>
  <si>
    <t>Food, Text/Graphics</t>
  </si>
  <si>
    <t>Space.mp4</t>
  </si>
  <si>
    <t>https://linqia-video-analyser-bucket.s3.us-east-2.amazonaws.com/Videos%20for%20Analysis/Space.mp4</t>
  </si>
  <si>
    <t>This video features a montage of various animated space scenes, including nebulae, planets, and galaxies, rendered with vibrant colors and particle effects. The visuals appear to be computer-generated and are presented in a rapid sequence, concluding with the TikTok Lite logo.</t>
  </si>
  <si>
    <t>['Space']</t>
  </si>
  <si>
    <t>['Montages', 'Graphics-heavy']</t>
  </si>
  <si>
    <t>Brand Logos, Usernames/Handles</t>
  </si>
  <si>
    <t>Technology, Artwork, Text/Graphics</t>
  </si>
  <si>
    <t>A group of four young women pose and dance in a stylish, indoor setting, showcasing their streetwear fashion. The video features quick cuts and upbeat music.</t>
  </si>
  <si>
    <t>['Montages', 'Transitions', 'Shorts/Reels/TikToks']</t>
  </si>
  <si>
    <t>Clothing/Fashion Items, Text/Graphics</t>
  </si>
  <si>
    <t>POV: the whole group can dress.
When you're in your fashion era.
This is your sign to dress up.
Fashion week is all year round.</t>
  </si>
  <si>
    <t>Study Motivation.mp4</t>
  </si>
  <si>
    <t>https://linqia-video-analyser-bucket.s3.us-east-2.amazonaws.com/Videos%20for%20Analysis/Study%20Motivation.mp4</t>
  </si>
  <si>
    <t>A person is studying at a desk with a laptop and tablet. The room is lit by pink neon lighting. Handwritten notes and papers are spread across the desk. On-screen text offers motivational messages about achieving goals through hard work and perseverance.</t>
  </si>
  <si>
    <t>['Study', 'Academics', 'Motivation']</t>
  </si>
  <si>
    <t>['Storytelling', 'Motivational Content', 'Text-based', 'Study With Me']</t>
  </si>
  <si>
    <t>['Partial visibility', 'Hands-only']</t>
  </si>
  <si>
    <t>Quotes, Titles/Headlines, Tutorial Steps, Timestamps</t>
  </si>
  <si>
    <t>Creator, Technology, Text/Graphics, Study, Home Decor</t>
  </si>
  <si>
    <t>I promise you if you put your mind to it and you work hard and you never give up and you do not listen to the rejection you can achieve anything that life throws your way</t>
  </si>
  <si>
    <t>Study Prep.mp4</t>
  </si>
  <si>
    <t>https://linqia-video-analyser-bucket.s3.us-east-2.amazonaws.com/Videos%20for%20Analysis/Study%20Prep.mp4</t>
  </si>
  <si>
    <t>The video shows a person preparing for studying. This includes filling a water bottle, organizing pens and notebooks in a drawer, and lighting a candle.</t>
  </si>
  <si>
    <t>['Study']</t>
  </si>
  <si>
    <t>['Tutorial', 'Organization']</t>
  </si>
  <si>
    <t>Text/Graphics, Food, Home Decor, Office Supplies</t>
  </si>
  <si>
    <t>Study Tips.mp4</t>
  </si>
  <si>
    <t>https://linqia-video-analyser-bucket.s3.us-east-2.amazonaws.com/Videos%20for%20Analysis/Study%20Tips.mp4</t>
  </si>
  <si>
    <t>The video shows a person studying for a math exam. It outlines a three-step process: first, making a list of topics to study. Second, using the AI tool "thetawise.ai" to generate short videos reviewing each topic. Third, practicing questions until they can answer them correctly.</t>
  </si>
  <si>
    <t>['Education', 'Study']</t>
  </si>
  <si>
    <t>['Tutorials', 'How-To Guides', 'Tips and Tricks', 'Demonstration']</t>
  </si>
  <si>
    <t>Creator, Technology, Text/Graphics, Education</t>
  </si>
  <si>
    <t>['Educational brands']</t>
  </si>
  <si>
    <t>Thetawise</t>
  </si>
  <si>
    <t>My three-step process to pass any math exam. One, make a list of all the topics you need to study. Two, go to Thetawise.ai, then ask the AI to generate a short video to review each topic. Three, do practice questions until you literally don't get anything wrong. Repeat the last two steps per topic.</t>
  </si>
  <si>
    <t>Two women are demonstrating different sequences of poses on yoga mats in a studio. The video appears to be comparing a Pilates sequence to a Yoga sequence, specifically focusing on the 'Sun Salutation' pose.</t>
  </si>
  <si>
    <t>['Fitness', 'Yoga', 'Lifestyle']</t>
  </si>
  <si>
    <t>['Tutorial', 'Demonstration', 'Montages']</t>
  </si>
  <si>
    <t>Creator, Fitness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</si>
</sst>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u/>
      <sz val="12"/>
      <color theme="1"/>
      <name val="Aptos Narrow"/>
      <scheme val="minor"/>
    </font>
    <font>
      <b/>
      <u/>
      <sz val="14"/>
      <color theme="1"/>
      <name val="Aptos Narrow"/>
      <scheme val="minor"/>
    </font>
    <font>
      <u/>
      <sz val="12"/>
      <color theme="10"/>
      <name val="Aptos Narrow"/>
      <family val="2"/>
      <scheme val="minor"/>
    </font>
    <font>
      <sz val="12"/>
      <color theme="1"/>
      <name val="Aptos Narrow (Body)"/>
    </font>
    <font>
      <b/>
      <u/>
      <sz val="16"/>
      <color theme="1"/>
      <name val="Aptos Narrow"/>
      <scheme val="minor"/>
    </font>
    <font>
      <sz val="14"/>
      <color rgb="FF000000"/>
      <name val="Aptos Narrow"/>
      <family val="2"/>
      <scheme val="minor"/>
    </font>
    <font>
      <b/>
      <u/>
      <sz val="12"/>
      <color theme="1"/>
      <name val="Aptos Narrow (Body)"/>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19">
    <xf numFmtId="0" fontId="0" fillId="0" borderId="0" xfId="0"/>
    <xf numFmtId="0" fontId="0" fillId="0" borderId="0" xfId="0" applyAlignment="1">
      <alignment wrapText="1"/>
    </xf>
    <xf numFmtId="0" fontId="0" fillId="0" borderId="0" xfId="0" applyAlignment="1">
      <alignment vertical="top" wrapText="1"/>
    </xf>
    <xf numFmtId="0" fontId="18" fillId="0" borderId="0" xfId="0" applyFont="1" applyAlignment="1">
      <alignment wrapText="1"/>
    </xf>
    <xf numFmtId="0" fontId="20" fillId="0" borderId="0" xfId="0" applyFont="1" applyAlignment="1">
      <alignment vertical="top" wrapText="1"/>
    </xf>
    <xf numFmtId="0" fontId="20" fillId="0" borderId="0" xfId="0" applyFont="1"/>
    <xf numFmtId="0" fontId="21" fillId="0" borderId="0" xfId="42" applyAlignment="1">
      <alignment vertical="top" wrapText="1"/>
    </xf>
    <xf numFmtId="0" fontId="22" fillId="0" borderId="0" xfId="0" applyFont="1"/>
    <xf numFmtId="0" fontId="16" fillId="0" borderId="0" xfId="0" applyFont="1"/>
    <xf numFmtId="0" fontId="19" fillId="0" borderId="0" xfId="0" applyFont="1"/>
    <xf numFmtId="0" fontId="23" fillId="0" borderId="0" xfId="0" applyFont="1"/>
    <xf numFmtId="0" fontId="24" fillId="0" borderId="0" xfId="0" applyFont="1" applyAlignment="1">
      <alignment horizontal="center" vertical="center"/>
    </xf>
    <xf numFmtId="0" fontId="24" fillId="0" borderId="0" xfId="0" applyFont="1" applyAlignment="1">
      <alignment horizontal="left" vertical="center"/>
    </xf>
    <xf numFmtId="0" fontId="24" fillId="0" borderId="0" xfId="0" applyFont="1" applyAlignment="1">
      <alignment horizontal="center"/>
    </xf>
    <xf numFmtId="0" fontId="0" fillId="0" borderId="0" xfId="0" applyAlignment="1">
      <alignment horizontal="left" vertical="top"/>
    </xf>
    <xf numFmtId="0" fontId="0" fillId="0" borderId="0" xfId="0" applyAlignment="1">
      <alignment horizontal="left" vertical="top" wrapText="1"/>
    </xf>
    <xf numFmtId="0" fontId="21" fillId="0" borderId="0" xfId="42" applyAlignment="1">
      <alignment horizontal="left" vertical="top" wrapText="1"/>
    </xf>
    <xf numFmtId="0" fontId="25" fillId="0" borderId="0" xfId="0" applyFont="1"/>
    <xf numFmtId="0" fontId="2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2"/>
        <color theme="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ptos Narrow"/>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4"/>
        <color rgb="FF000000"/>
        <name val="Aptos Narrow"/>
        <family val="2"/>
        <scheme val="minor"/>
      </font>
      <alignment horizontal="center" vertical="center"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8763F6-C861-F04B-B8C4-24428F4154E2}" name="Table1" displayName="Table1" ref="A1:L21" totalsRowShown="0" headerRowDxfId="47" dataDxfId="46">
  <autoFilter ref="A1:L21" xr:uid="{FA8763F6-C861-F04B-B8C4-24428F4154E2}"/>
  <tableColumns count="12">
    <tableColumn id="1" xr3:uid="{475EE59A-2751-B440-8A38-5F85B8CE2BAA}" name="video_name" dataDxfId="45"/>
    <tableColumn id="2" xr3:uid="{362F3F1C-B345-C349-8DC7-20359B537225}" name="video_url" dataDxfId="44"/>
    <tableColumn id="3" xr3:uid="{92DBF553-DE4A-4048-9CDC-DC4EA0F40DC4}" name="summary" dataDxfId="43"/>
    <tableColumn id="4" xr3:uid="{C51F1BE4-AAE2-2448-A303-15EC461303AA}" name="content_theme" dataDxfId="42"/>
    <tableColumn id="5" xr3:uid="{C718EC5E-B98A-7C4C-8A56-37D102081F7D}" name="content_style" dataDxfId="41"/>
    <tableColumn id="6" xr3:uid="{71D3BF2A-9723-744A-B8AC-5A850707144E}" name="creator_presence" dataDxfId="40"/>
    <tableColumn id="7" xr3:uid="{BE03E982-5966-3049-A8F7-06A205ABF377}" name="on_screen_text" dataDxfId="39"/>
    <tableColumn id="8" xr3:uid="{14166438-0C89-5646-B489-AD01C3BAED4C}" name="key_video_elements" dataDxfId="38"/>
    <tableColumn id="9" xr3:uid="{FF364D28-84FD-E14C-A21E-4802C04ED633}" name="brand_safety" dataDxfId="37"/>
    <tableColumn id="10" xr3:uid="{6801D553-6738-CC4D-9C3C-ED2B27B21104}" name="brand_type" dataDxfId="36"/>
    <tableColumn id="11" xr3:uid="{395F1846-D512-B04D-BDA5-E803DAD1E280}" name="brand_names" dataDxfId="35"/>
    <tableColumn id="12" xr3:uid="{750CD277-7077-574F-9935-4960E1E6D65E}" name="transcript" dataDxfId="34"/>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B55FB9-4A29-3D45-945B-5E6D82B942FD}" name="Table4" displayName="Table4" ref="A1:L30" totalsRowShown="0" headerRowDxfId="0" dataDxfId="1">
  <autoFilter ref="A1:L30" xr:uid="{FAB55FB9-4A29-3D45-945B-5E6D82B942FD}"/>
  <tableColumns count="12">
    <tableColumn id="1" xr3:uid="{38C724F5-9B40-FC4B-A753-68EF85AF3696}" name="video_name" dataDxfId="13"/>
    <tableColumn id="2" xr3:uid="{24E01940-C14A-C241-942C-F494AEA0F7B1}" name="video_url" dataDxfId="12"/>
    <tableColumn id="3" xr3:uid="{77A64F6B-D968-B548-AD7A-FC949C21BB96}" name="summary" dataDxfId="11"/>
    <tableColumn id="4" xr3:uid="{06E32200-3F16-5E47-8765-2A02459C73DB}" name="content_theme" dataDxfId="10"/>
    <tableColumn id="5" xr3:uid="{DBFBCD99-A4DF-B046-90D3-DADC4B593AC0}" name="content_style" dataDxfId="9"/>
    <tableColumn id="6" xr3:uid="{B9C0B71B-DE31-3643-9ED7-44FE31F95EF1}" name="creator_presence" dataDxfId="8"/>
    <tableColumn id="7" xr3:uid="{3B16583B-00DF-C141-A78F-569408558BC1}" name="on_screen_text" dataDxfId="7"/>
    <tableColumn id="8" xr3:uid="{49F26914-18E3-7844-AF37-F78F6FFF7F87}" name="key_video_elements" dataDxfId="6"/>
    <tableColumn id="9" xr3:uid="{D3326913-23DB-E341-B9E0-56F678F37033}" name="brand_safety" dataDxfId="5"/>
    <tableColumn id="10" xr3:uid="{22111CE0-6C5F-C244-BD44-8DBC63C820F9}" name="brand_type" dataDxfId="4"/>
    <tableColumn id="11" xr3:uid="{6008D92F-E33C-A442-BF89-AFA0B10CB41C}" name="brand_names" dataDxfId="3"/>
    <tableColumn id="12" xr3:uid="{33D2D4E9-231F-B94B-A478-9E2736499B01}" name="transcript" dataDxfId="2"/>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00C484-2FEA-2047-A981-A4C9C0C5483F}" name="Table2" displayName="Table2" ref="A1:M12" totalsRowShown="0" headerRowDxfId="33" dataDxfId="32">
  <autoFilter ref="A1:M12" xr:uid="{5B00C484-2FEA-2047-A981-A4C9C0C5483F}"/>
  <tableColumns count="13">
    <tableColumn id="1" xr3:uid="{EC1D7316-5BF8-5747-AB25-0A32C5D32913}" name="Video Name" dataDxfId="31"/>
    <tableColumn id="2" xr3:uid="{A32D9AA5-E848-6846-AB1E-0E6BFB6BEA66}" name="Summary" dataDxfId="30"/>
    <tableColumn id="3" xr3:uid="{C732009D-B91D-C54A-83F0-FC91D7B20C35}" name="Content Theme " dataDxfId="29"/>
    <tableColumn id="4" xr3:uid="{0E2C8F17-1D52-2E49-A9E2-BC298C67571D}" name="Content Style" dataDxfId="28"/>
    <tableColumn id="5" xr3:uid="{251C5403-389E-0E41-9F3D-8C8EA36418E7}" name="Creator Presence" dataDxfId="27"/>
    <tableColumn id="6" xr3:uid="{95673441-7C8A-7740-8BC9-61E9C23AF00D}" name="On Screen Text" dataDxfId="26"/>
    <tableColumn id="7" xr3:uid="{805391BF-AAE8-E446-A7DB-D8A97AB3D46F}" name="Key Elements" dataDxfId="25"/>
    <tableColumn id="8" xr3:uid="{608BA7D3-58F1-5F42-B4BF-E98666EF7072}" name="Brand Safety" dataDxfId="24"/>
    <tableColumn id="9" xr3:uid="{F9BC25DA-2321-434D-A258-51DEF8554E80}" name="Brand Type" dataDxfId="23"/>
    <tableColumn id="10" xr3:uid="{390AE33D-136F-A04A-8CB6-4B51622519CF}" name="Brand Names" dataDxfId="22"/>
    <tableColumn id="11" xr3:uid="{9D117665-48E9-2F49-9E3B-808210ECEE1A}" name="Transcript" dataDxfId="21"/>
    <tableColumn id="12" xr3:uid="{31737885-4A72-2F4A-B7AA-191520876648}" name="Overall Score" dataDxfId="20">
      <calculatedColumnFormula array="1">SUM(Table2[[#This Row],[Summary]:[Transcript]]/10)</calculatedColumnFormula>
    </tableColumn>
    <tableColumn id="13" xr3:uid="{CD197DAC-0F34-0F44-878F-D4004EA7A0C1}" name="Notes" dataDxfId="19"/>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B8CF70-A0CD-9E43-806D-365026EA078A}" name="Table3" displayName="Table3" ref="A14:C19" totalsRowShown="0" headerRowDxfId="18" dataDxfId="17">
  <autoFilter ref="A14:C19" xr:uid="{25B8CF70-A0CD-9E43-806D-365026EA078A}"/>
  <tableColumns count="3">
    <tableColumn id="1" xr3:uid="{F42B7AA0-7FAD-E146-B7AF-88E69AA803AF}" name="Score" dataDxfId="16"/>
    <tableColumn id="2" xr3:uid="{1D80EB32-A2C4-E440-8577-BB46229B8425}" name="Rating" dataDxfId="15"/>
    <tableColumn id="3" xr3:uid="{00345FDA-C9ED-F94B-ACE5-E75B9E799435}" name="Criteria" dataDxfId="14"/>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qia-video-analyser-bucket.s3.us-east-2.amazonaws.com/Videos%20for%20Analysis/Fitness.mp4" TargetMode="External"/><Relationship Id="rId13" Type="http://schemas.openxmlformats.org/officeDocument/2006/relationships/hyperlink" Target="https://linqia-video-analyser-bucket.s3.us-east-2.amazonaws.com/Videos%20for%20Analysis/Jelly%20Bed.mp4" TargetMode="External"/><Relationship Id="rId18" Type="http://schemas.openxmlformats.org/officeDocument/2006/relationships/hyperlink" Target="https://linqia-video-analyser-bucket.s3.us-east-2.amazonaws.com/Videos%20for%20Analysis/Yoga:Pilates.mp4" TargetMode="External"/><Relationship Id="rId3" Type="http://schemas.openxmlformats.org/officeDocument/2006/relationships/hyperlink" Target="https://linqia-video-analyser-bucket.s3.us-east-2.amazonaws.com/Videos%20for%20Analysis/Catching%20Food.mp4" TargetMode="External"/><Relationship Id="rId7" Type="http://schemas.openxmlformats.org/officeDocument/2006/relationships/hyperlink" Target="https://linqia-video-analyser-bucket.s3.us-east-2.amazonaws.com/Videos%20for%20Analysis/Esport.mp4" TargetMode="External"/><Relationship Id="rId12" Type="http://schemas.openxmlformats.org/officeDocument/2006/relationships/hyperlink" Target="https://linqia-video-analyser-bucket.s3.us-east-2.amazonaws.com/Videos%20for%20Analysis/Instrument%20Tutorials.mp4" TargetMode="External"/><Relationship Id="rId17" Type="http://schemas.openxmlformats.org/officeDocument/2006/relationships/hyperlink" Target="https://linqia-video-analyser-bucket.s3.us-east-2.amazonaws.com/Videos%20for%20Analysis/Streetwear.mp4" TargetMode="External"/><Relationship Id="rId2" Type="http://schemas.openxmlformats.org/officeDocument/2006/relationships/hyperlink" Target="https://linqia-video-analyser-bucket.s3.us-east-2.amazonaws.com/Videos%20for%20Analysis/Beauty.mp4" TargetMode="External"/><Relationship Id="rId16" Type="http://schemas.openxmlformats.org/officeDocument/2006/relationships/hyperlink" Target="https://linqia-video-analyser-bucket.s3.us-east-2.amazonaws.com/Videos%20for%20Analysis/Language%20Learning.mp4" TargetMode="External"/><Relationship Id="rId1" Type="http://schemas.openxmlformats.org/officeDocument/2006/relationships/hyperlink" Target="https://linqia-video-analyser-bucket.s3.us-east-2.amazonaws.com/Videos%20for%20Analysis/Beauty%202.mp4" TargetMode="External"/><Relationship Id="rId6" Type="http://schemas.openxmlformats.org/officeDocument/2006/relationships/hyperlink" Target="https://linqia-video-analyser-bucket.s3.us-east-2.amazonaws.com/Videos%20for%20Analysis/Education.mp4" TargetMode="External"/><Relationship Id="rId11" Type="http://schemas.openxmlformats.org/officeDocument/2006/relationships/hyperlink" Target="https://linqia-video-analyser-bucket.s3.us-east-2.amazonaws.com/Videos%20for%20Analysis/High%20Fashion.mp4" TargetMode="External"/><Relationship Id="rId5" Type="http://schemas.openxmlformats.org/officeDocument/2006/relationships/hyperlink" Target="https://linqia-video-analyser-bucket.s3.us-east-2.amazonaws.com/Videos%20for%20Analysis/Education.mp4" TargetMode="External"/><Relationship Id="rId15" Type="http://schemas.openxmlformats.org/officeDocument/2006/relationships/hyperlink" Target="https://linqia-video-analyser-bucket.s3.us-east-2.amazonaws.com/Videos%20for%20Analysis/Coding%20Tutorials.mp4" TargetMode="External"/><Relationship Id="rId10" Type="http://schemas.openxmlformats.org/officeDocument/2006/relationships/hyperlink" Target="https://linqia-video-analyser-bucket.s3.us-east-2.amazonaws.com/Videos%20for%20Analysis/Hair%20Tutorial.mp4" TargetMode="External"/><Relationship Id="rId4" Type="http://schemas.openxmlformats.org/officeDocument/2006/relationships/hyperlink" Target="https://linqia-video-analyser-bucket.s3.us-east-2.amazonaws.com/Videos%20for%20Analysis/DIY%20Craft.mp4" TargetMode="External"/><Relationship Id="rId9" Type="http://schemas.openxmlformats.org/officeDocument/2006/relationships/hyperlink" Target="https://linqia-video-analyser-bucket.s3.us-east-2.amazonaws.com/Videos%20for%20Analysis/Food.mp4" TargetMode="External"/><Relationship Id="rId14" Type="http://schemas.openxmlformats.org/officeDocument/2006/relationships/hyperlink" Target="https://linqia-video-analyser-bucket.s3.us-east-2.amazonaws.com/Videos%20for%20Analysis/Restaurant%20Visit%202.mp4"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inqia-video-analyser-bucket.s3.us-east-2.amazonaws.com/Videos%20for%20Analysis/Jelly%20Bed.mp4" TargetMode="External"/><Relationship Id="rId7" Type="http://schemas.openxmlformats.org/officeDocument/2006/relationships/table" Target="../tables/table1.xml"/><Relationship Id="rId2" Type="http://schemas.openxmlformats.org/officeDocument/2006/relationships/hyperlink" Target="https://linqia-video-analyser-bucket.s3.us-east-2.amazonaws.com/Videos%20for%20Analysis/Coding%20Tutorials.mp4" TargetMode="External"/><Relationship Id="rId1" Type="http://schemas.openxmlformats.org/officeDocument/2006/relationships/hyperlink" Target="https://linqia-video-analyser-bucket.s3.us-east-2.amazonaws.com/Videos%20for%20Analysis/Catching%20Food.mp4" TargetMode="External"/><Relationship Id="rId6" Type="http://schemas.openxmlformats.org/officeDocument/2006/relationships/hyperlink" Target="https://linqia-video-analyser-bucket.s3.us-east-2.amazonaws.com/Videos%20for%20Analysis/Restaurant%20Visit.mp4" TargetMode="External"/><Relationship Id="rId5" Type="http://schemas.openxmlformats.org/officeDocument/2006/relationships/hyperlink" Target="https://linqia-video-analyser-bucket.s3.us-east-2.amazonaws.com/Videos%20for%20Analysis/Luxury%20Travel.mp4" TargetMode="External"/><Relationship Id="rId4" Type="http://schemas.openxmlformats.org/officeDocument/2006/relationships/hyperlink" Target="https://linqia-video-analyser-bucket.s3.us-east-2.amazonaws.com/Videos%20for%20Analysis/Music%20Production.mp4"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linqia-video-analyser-bucket.s3.us-east-2.amazonaws.com/Videos%20for%20Analysis/Study%20Prep.mp4" TargetMode="External"/><Relationship Id="rId1" Type="http://schemas.openxmlformats.org/officeDocument/2006/relationships/hyperlink" Target="https://linqia-video-analyser-bucket.s3.us-east-2.amazonaws.com/Videos%20for%20Analysis/Plant.mp4"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129F-1A64-4448-921A-AFDEC1545F0E}">
  <dimension ref="A1:L21"/>
  <sheetViews>
    <sheetView zoomScale="90" zoomScaleNormal="90" workbookViewId="0">
      <pane ySplit="1" topLeftCell="A8" activePane="bottomLeft" state="frozen"/>
      <selection activeCell="E1" sqref="E1"/>
      <selection pane="bottomLeft" activeCell="G11" sqref="G11"/>
    </sheetView>
  </sheetViews>
  <sheetFormatPr baseColWidth="10" defaultRowHeight="16" x14ac:dyDescent="0.2"/>
  <cols>
    <col min="1" max="1" width="16.5" customWidth="1"/>
    <col min="2" max="2" width="34.1640625" customWidth="1"/>
    <col min="3" max="3" width="49" customWidth="1"/>
    <col min="4" max="4" width="23.1640625" customWidth="1"/>
    <col min="5" max="5" width="26.33203125" customWidth="1"/>
    <col min="6" max="6" width="24.83203125" customWidth="1"/>
    <col min="7" max="7" width="81.1640625" customWidth="1"/>
    <col min="8" max="8" width="40.83203125" customWidth="1"/>
    <col min="9" max="9" width="31.33203125" customWidth="1"/>
    <col min="10" max="10" width="23.83203125" customWidth="1"/>
    <col min="11" max="11" width="18.5" customWidth="1"/>
    <col min="12" max="12" width="144.5" customWidth="1"/>
  </cols>
  <sheetData>
    <row r="1" spans="1:12" s="5" customFormat="1" ht="20" x14ac:dyDescent="0.25">
      <c r="A1" s="4" t="s">
        <v>0</v>
      </c>
      <c r="B1" s="4" t="s">
        <v>1</v>
      </c>
      <c r="C1" s="4" t="s">
        <v>2</v>
      </c>
      <c r="D1" s="4" t="s">
        <v>3</v>
      </c>
      <c r="E1" s="4" t="s">
        <v>4</v>
      </c>
      <c r="F1" s="4" t="s">
        <v>5</v>
      </c>
      <c r="G1" s="4" t="s">
        <v>6</v>
      </c>
      <c r="H1" s="4" t="s">
        <v>7</v>
      </c>
      <c r="I1" s="4" t="s">
        <v>8</v>
      </c>
      <c r="J1" s="4" t="s">
        <v>9</v>
      </c>
      <c r="K1" s="4" t="s">
        <v>10</v>
      </c>
      <c r="L1" s="4" t="s">
        <v>11</v>
      </c>
    </row>
    <row r="2" spans="1:12" ht="187" x14ac:dyDescent="0.2">
      <c r="A2" s="2" t="s">
        <v>14</v>
      </c>
      <c r="B2" s="6" t="s">
        <v>15</v>
      </c>
      <c r="C2" s="2" t="s">
        <v>16</v>
      </c>
      <c r="D2" s="2" t="s">
        <v>17</v>
      </c>
      <c r="E2" s="2" t="s">
        <v>18</v>
      </c>
      <c r="F2" s="2" t="s">
        <v>19</v>
      </c>
      <c r="G2" s="2"/>
      <c r="H2" s="2" t="s">
        <v>20</v>
      </c>
      <c r="I2" s="2" t="s">
        <v>13</v>
      </c>
      <c r="J2" s="2" t="s">
        <v>21</v>
      </c>
      <c r="K2" s="2" t="s">
        <v>22</v>
      </c>
      <c r="L2" s="2" t="s">
        <v>23</v>
      </c>
    </row>
    <row r="3" spans="1:12" ht="85" x14ac:dyDescent="0.2">
      <c r="A3" s="2" t="s">
        <v>24</v>
      </c>
      <c r="B3" s="6" t="s">
        <v>25</v>
      </c>
      <c r="C3" s="2" t="s">
        <v>26</v>
      </c>
      <c r="D3" s="2" t="s">
        <v>27</v>
      </c>
      <c r="E3" s="2" t="s">
        <v>28</v>
      </c>
      <c r="F3" s="2" t="s">
        <v>29</v>
      </c>
      <c r="G3" s="2"/>
      <c r="H3" s="2" t="s">
        <v>30</v>
      </c>
      <c r="I3" s="2" t="s">
        <v>13</v>
      </c>
      <c r="J3" s="2" t="s">
        <v>31</v>
      </c>
      <c r="K3" s="2"/>
      <c r="L3" s="2" t="s">
        <v>32</v>
      </c>
    </row>
    <row r="4" spans="1:12" ht="141" customHeight="1" x14ac:dyDescent="0.2">
      <c r="A4" s="2" t="s">
        <v>35</v>
      </c>
      <c r="B4" s="6" t="s">
        <v>36</v>
      </c>
      <c r="C4" s="2" t="s">
        <v>37</v>
      </c>
      <c r="D4" s="2" t="s">
        <v>38</v>
      </c>
      <c r="E4" s="2" t="s">
        <v>39</v>
      </c>
      <c r="F4" s="2" t="s">
        <v>40</v>
      </c>
      <c r="G4" s="2" t="s">
        <v>41</v>
      </c>
      <c r="H4" s="2" t="s">
        <v>42</v>
      </c>
      <c r="I4" s="2" t="s">
        <v>43</v>
      </c>
      <c r="J4" s="2" t="s">
        <v>44</v>
      </c>
      <c r="K4" s="2"/>
      <c r="L4" s="2" t="s">
        <v>45</v>
      </c>
    </row>
    <row r="5" spans="1:12" ht="187" x14ac:dyDescent="0.2">
      <c r="A5" s="2" t="s">
        <v>46</v>
      </c>
      <c r="B5" s="6" t="s">
        <v>47</v>
      </c>
      <c r="C5" s="2" t="s">
        <v>48</v>
      </c>
      <c r="D5" s="2" t="s">
        <v>49</v>
      </c>
      <c r="E5" s="2" t="s">
        <v>50</v>
      </c>
      <c r="F5" s="2" t="s">
        <v>51</v>
      </c>
      <c r="G5" s="2" t="s">
        <v>52</v>
      </c>
      <c r="H5" s="2" t="s">
        <v>53</v>
      </c>
      <c r="I5" s="2" t="s">
        <v>43</v>
      </c>
      <c r="J5" s="2" t="s">
        <v>31</v>
      </c>
      <c r="K5" s="2"/>
      <c r="L5" s="2" t="s">
        <v>54</v>
      </c>
    </row>
    <row r="6" spans="1:12" ht="85" x14ac:dyDescent="0.2">
      <c r="A6" s="2" t="s">
        <v>55</v>
      </c>
      <c r="B6" s="6" t="s">
        <v>56</v>
      </c>
      <c r="C6" s="2" t="s">
        <v>57</v>
      </c>
      <c r="D6" s="2" t="s">
        <v>58</v>
      </c>
      <c r="E6" s="2" t="s">
        <v>59</v>
      </c>
      <c r="F6" s="2" t="s">
        <v>60</v>
      </c>
      <c r="G6" s="2" t="s">
        <v>61</v>
      </c>
      <c r="H6" s="2" t="s">
        <v>62</v>
      </c>
      <c r="I6" s="2" t="s">
        <v>43</v>
      </c>
      <c r="J6" s="2" t="s">
        <v>31</v>
      </c>
      <c r="K6" s="2"/>
      <c r="L6" s="2" t="s">
        <v>63</v>
      </c>
    </row>
    <row r="7" spans="1:12" ht="68" x14ac:dyDescent="0.2">
      <c r="A7" s="2" t="s">
        <v>64</v>
      </c>
      <c r="B7" s="6" t="s">
        <v>65</v>
      </c>
      <c r="C7" s="6" t="s">
        <v>65</v>
      </c>
      <c r="D7" s="2" t="s">
        <v>66</v>
      </c>
      <c r="E7" s="2" t="s">
        <v>67</v>
      </c>
      <c r="F7" s="2" t="s">
        <v>68</v>
      </c>
      <c r="G7" s="2" t="s">
        <v>69</v>
      </c>
      <c r="H7" s="2" t="s">
        <v>70</v>
      </c>
      <c r="I7" s="2" t="s">
        <v>13</v>
      </c>
      <c r="J7" s="2" t="s">
        <v>31</v>
      </c>
      <c r="K7" s="2"/>
      <c r="L7" s="2"/>
    </row>
    <row r="8" spans="1:12" ht="102" x14ac:dyDescent="0.2">
      <c r="A8" s="2" t="s">
        <v>71</v>
      </c>
      <c r="B8" s="6" t="s">
        <v>72</v>
      </c>
      <c r="C8" s="2" t="s">
        <v>73</v>
      </c>
      <c r="D8" s="2" t="s">
        <v>74</v>
      </c>
      <c r="E8" s="2" t="s">
        <v>75</v>
      </c>
      <c r="F8" s="2" t="s">
        <v>76</v>
      </c>
      <c r="G8" s="2" t="s">
        <v>77</v>
      </c>
      <c r="H8" s="2" t="s">
        <v>78</v>
      </c>
      <c r="I8" s="2" t="s">
        <v>43</v>
      </c>
      <c r="J8" s="2" t="s">
        <v>31</v>
      </c>
      <c r="K8" s="2"/>
      <c r="L8" s="2" t="s">
        <v>79</v>
      </c>
    </row>
    <row r="9" spans="1:12" ht="102" x14ac:dyDescent="0.2">
      <c r="A9" s="2" t="s">
        <v>80</v>
      </c>
      <c r="B9" s="6" t="s">
        <v>81</v>
      </c>
      <c r="C9" s="2" t="s">
        <v>82</v>
      </c>
      <c r="D9" s="2" t="s">
        <v>83</v>
      </c>
      <c r="E9" s="2" t="s">
        <v>84</v>
      </c>
      <c r="F9" s="2" t="s">
        <v>85</v>
      </c>
      <c r="G9" s="2"/>
      <c r="H9" s="2" t="s">
        <v>86</v>
      </c>
      <c r="I9" s="2" t="s">
        <v>43</v>
      </c>
      <c r="J9" s="2" t="s">
        <v>31</v>
      </c>
      <c r="K9" s="2"/>
      <c r="L9" s="2" t="s">
        <v>87</v>
      </c>
    </row>
    <row r="10" spans="1:12" ht="136" x14ac:dyDescent="0.2">
      <c r="A10" s="2" t="s">
        <v>88</v>
      </c>
      <c r="B10" s="6" t="s">
        <v>89</v>
      </c>
      <c r="C10" s="2" t="s">
        <v>90</v>
      </c>
      <c r="D10" s="2" t="s">
        <v>91</v>
      </c>
      <c r="E10" s="2" t="s">
        <v>92</v>
      </c>
      <c r="F10" s="2" t="s">
        <v>93</v>
      </c>
      <c r="G10" s="2" t="s">
        <v>94</v>
      </c>
      <c r="H10" s="2" t="s">
        <v>95</v>
      </c>
      <c r="I10" s="2" t="s">
        <v>43</v>
      </c>
      <c r="J10" s="2" t="s">
        <v>96</v>
      </c>
      <c r="K10" s="2" t="s">
        <v>97</v>
      </c>
      <c r="L10" s="2" t="s">
        <v>98</v>
      </c>
    </row>
    <row r="11" spans="1:12" ht="187" x14ac:dyDescent="0.2">
      <c r="A11" s="2" t="s">
        <v>99</v>
      </c>
      <c r="B11" s="6" t="s">
        <v>100</v>
      </c>
      <c r="C11" s="2" t="s">
        <v>101</v>
      </c>
      <c r="D11" s="2" t="s">
        <v>102</v>
      </c>
      <c r="E11" s="2" t="s">
        <v>103</v>
      </c>
      <c r="F11" s="2" t="s">
        <v>104</v>
      </c>
      <c r="G11" s="2" t="s">
        <v>69</v>
      </c>
      <c r="H11" s="2" t="s">
        <v>105</v>
      </c>
      <c r="I11" s="2" t="s">
        <v>43</v>
      </c>
      <c r="J11" s="2" t="s">
        <v>106</v>
      </c>
      <c r="K11" s="2" t="s">
        <v>107</v>
      </c>
      <c r="L11" s="2" t="s">
        <v>108</v>
      </c>
    </row>
    <row r="12" spans="1:12" ht="85" x14ac:dyDescent="0.2">
      <c r="A12" s="2" t="s">
        <v>109</v>
      </c>
      <c r="B12" s="6" t="s">
        <v>110</v>
      </c>
      <c r="C12" s="2" t="s">
        <v>111</v>
      </c>
      <c r="D12" s="2" t="s">
        <v>112</v>
      </c>
      <c r="E12" s="2" t="s">
        <v>67</v>
      </c>
      <c r="F12" s="2" t="s">
        <v>12</v>
      </c>
      <c r="G12" s="2"/>
      <c r="H12" s="2" t="s">
        <v>113</v>
      </c>
      <c r="I12" s="2" t="s">
        <v>13</v>
      </c>
      <c r="J12" s="2" t="s">
        <v>31</v>
      </c>
      <c r="K12" s="2"/>
      <c r="L12" s="2" t="s">
        <v>114</v>
      </c>
    </row>
    <row r="13" spans="1:12" ht="68" x14ac:dyDescent="0.2">
      <c r="A13" s="2" t="s">
        <v>115</v>
      </c>
      <c r="B13" s="6" t="s">
        <v>116</v>
      </c>
      <c r="C13" s="2" t="s">
        <v>117</v>
      </c>
      <c r="D13" s="2" t="s">
        <v>118</v>
      </c>
      <c r="E13" s="2" t="s">
        <v>103</v>
      </c>
      <c r="F13" s="2" t="s">
        <v>119</v>
      </c>
      <c r="G13" s="2" t="s">
        <v>120</v>
      </c>
      <c r="H13" s="2" t="s">
        <v>121</v>
      </c>
      <c r="I13" s="2" t="s">
        <v>13</v>
      </c>
      <c r="J13" s="2" t="s">
        <v>44</v>
      </c>
      <c r="K13" s="2" t="s">
        <v>122</v>
      </c>
      <c r="L13" s="2" t="s">
        <v>123</v>
      </c>
    </row>
    <row r="14" spans="1:12" ht="68" x14ac:dyDescent="0.2">
      <c r="A14" s="2" t="s">
        <v>124</v>
      </c>
      <c r="B14" s="6" t="s">
        <v>125</v>
      </c>
      <c r="C14" s="2" t="s">
        <v>126</v>
      </c>
      <c r="D14" s="2" t="s">
        <v>127</v>
      </c>
      <c r="E14" s="2" t="s">
        <v>127</v>
      </c>
      <c r="F14" s="2" t="s">
        <v>29</v>
      </c>
      <c r="G14" s="2"/>
      <c r="H14" s="2" t="s">
        <v>128</v>
      </c>
      <c r="I14" s="2" t="s">
        <v>13</v>
      </c>
      <c r="J14" s="2" t="s">
        <v>31</v>
      </c>
      <c r="K14" s="2"/>
      <c r="L14" s="2" t="s">
        <v>129</v>
      </c>
    </row>
    <row r="15" spans="1:12" ht="119" x14ac:dyDescent="0.2">
      <c r="A15" s="2" t="s">
        <v>130</v>
      </c>
      <c r="B15" s="6" t="s">
        <v>131</v>
      </c>
      <c r="C15" s="2" t="s">
        <v>132</v>
      </c>
      <c r="D15" s="2" t="s">
        <v>133</v>
      </c>
      <c r="E15" s="2" t="s">
        <v>134</v>
      </c>
      <c r="F15" s="2" t="s">
        <v>33</v>
      </c>
      <c r="G15" s="2" t="s">
        <v>135</v>
      </c>
      <c r="H15" s="2" t="s">
        <v>34</v>
      </c>
      <c r="I15" s="2" t="s">
        <v>43</v>
      </c>
      <c r="J15" s="2" t="s">
        <v>31</v>
      </c>
      <c r="K15" s="2"/>
      <c r="L15" s="2" t="s">
        <v>136</v>
      </c>
    </row>
    <row r="16" spans="1:12" ht="85" x14ac:dyDescent="0.2">
      <c r="A16" s="2" t="s">
        <v>137</v>
      </c>
      <c r="B16" s="2" t="s">
        <v>138</v>
      </c>
      <c r="C16" s="2" t="s">
        <v>139</v>
      </c>
      <c r="D16" s="2" t="s">
        <v>140</v>
      </c>
      <c r="E16" s="2" t="s">
        <v>141</v>
      </c>
      <c r="F16" s="2" t="s">
        <v>85</v>
      </c>
      <c r="G16" s="2" t="s">
        <v>142</v>
      </c>
      <c r="H16" s="2" t="s">
        <v>143</v>
      </c>
      <c r="I16" s="2" t="s">
        <v>43</v>
      </c>
      <c r="J16" s="2" t="s">
        <v>144</v>
      </c>
      <c r="K16" s="2" t="s">
        <v>145</v>
      </c>
      <c r="L16" s="2" t="s">
        <v>146</v>
      </c>
    </row>
    <row r="17" spans="1:12" ht="119" x14ac:dyDescent="0.2">
      <c r="A17" s="2" t="s">
        <v>147</v>
      </c>
      <c r="B17" s="2" t="s">
        <v>148</v>
      </c>
      <c r="C17" s="2" t="s">
        <v>149</v>
      </c>
      <c r="D17" s="2" t="s">
        <v>118</v>
      </c>
      <c r="E17" s="2" t="s">
        <v>103</v>
      </c>
      <c r="F17" s="2" t="s">
        <v>150</v>
      </c>
      <c r="G17" s="2" t="s">
        <v>151</v>
      </c>
      <c r="H17" s="2" t="s">
        <v>152</v>
      </c>
      <c r="I17" s="2" t="s">
        <v>43</v>
      </c>
      <c r="J17" s="2" t="s">
        <v>44</v>
      </c>
      <c r="K17" s="2"/>
      <c r="L17" s="2" t="s">
        <v>153</v>
      </c>
    </row>
    <row r="18" spans="1:12" ht="68" x14ac:dyDescent="0.2">
      <c r="A18" s="2" t="s">
        <v>154</v>
      </c>
      <c r="B18" s="6" t="s">
        <v>155</v>
      </c>
      <c r="C18" s="2" t="s">
        <v>156</v>
      </c>
      <c r="D18" s="2" t="s">
        <v>157</v>
      </c>
      <c r="E18" s="2" t="s">
        <v>158</v>
      </c>
      <c r="F18" s="2" t="s">
        <v>159</v>
      </c>
      <c r="G18" s="2" t="s">
        <v>160</v>
      </c>
      <c r="H18" s="2" t="s">
        <v>161</v>
      </c>
      <c r="I18" s="2" t="s">
        <v>43</v>
      </c>
      <c r="J18" s="2" t="s">
        <v>31</v>
      </c>
      <c r="K18" s="2" t="s">
        <v>122</v>
      </c>
      <c r="L18" s="2" t="s">
        <v>162</v>
      </c>
    </row>
    <row r="19" spans="1:12" ht="119" x14ac:dyDescent="0.2">
      <c r="A19" s="2" t="s">
        <v>163</v>
      </c>
      <c r="B19" s="2" t="s">
        <v>164</v>
      </c>
      <c r="C19" s="2" t="s">
        <v>165</v>
      </c>
      <c r="D19" s="2" t="s">
        <v>166</v>
      </c>
      <c r="E19" s="2" t="s">
        <v>167</v>
      </c>
      <c r="F19" s="2" t="s">
        <v>168</v>
      </c>
      <c r="G19" s="2" t="s">
        <v>169</v>
      </c>
      <c r="H19" s="2" t="s">
        <v>170</v>
      </c>
      <c r="I19" s="2" t="s">
        <v>43</v>
      </c>
      <c r="J19" s="2" t="s">
        <v>31</v>
      </c>
      <c r="K19" s="2"/>
      <c r="L19" s="2"/>
    </row>
    <row r="20" spans="1:12" ht="102" x14ac:dyDescent="0.2">
      <c r="A20" s="2" t="s">
        <v>171</v>
      </c>
      <c r="B20" s="6" t="s">
        <v>172</v>
      </c>
      <c r="C20" s="2" t="s">
        <v>173</v>
      </c>
      <c r="D20" s="2" t="s">
        <v>112</v>
      </c>
      <c r="E20" s="2" t="s">
        <v>174</v>
      </c>
      <c r="F20" s="2" t="s">
        <v>175</v>
      </c>
      <c r="G20" s="2" t="s">
        <v>176</v>
      </c>
      <c r="H20" s="2" t="s">
        <v>30</v>
      </c>
      <c r="I20" s="2" t="s">
        <v>13</v>
      </c>
      <c r="J20" s="2" t="s">
        <v>31</v>
      </c>
      <c r="K20" s="2"/>
      <c r="L20" s="2" t="s">
        <v>177</v>
      </c>
    </row>
    <row r="21" spans="1:12" ht="68" x14ac:dyDescent="0.2">
      <c r="A21" s="2" t="s">
        <v>178</v>
      </c>
      <c r="B21" s="6" t="s">
        <v>179</v>
      </c>
      <c r="C21" s="2" t="s">
        <v>180</v>
      </c>
      <c r="D21" s="2" t="s">
        <v>181</v>
      </c>
      <c r="E21" s="2" t="s">
        <v>59</v>
      </c>
      <c r="F21" s="2" t="s">
        <v>29</v>
      </c>
      <c r="G21" s="2" t="s">
        <v>182</v>
      </c>
      <c r="H21" s="2" t="s">
        <v>183</v>
      </c>
      <c r="I21" s="2" t="s">
        <v>13</v>
      </c>
      <c r="J21" s="2" t="s">
        <v>31</v>
      </c>
      <c r="K21" s="2"/>
      <c r="L21" s="2"/>
    </row>
  </sheetData>
  <hyperlinks>
    <hyperlink ref="B2" r:id="rId1" xr:uid="{653E45C6-5342-D34A-A46A-8C471877FD44}"/>
    <hyperlink ref="B3" r:id="rId2" xr:uid="{BCB0224C-8B60-9543-B728-33E049C75341}"/>
    <hyperlink ref="B4" r:id="rId3" xr:uid="{5549A1DF-3C83-1743-A3CB-497DC4229A87}"/>
    <hyperlink ref="B6" r:id="rId4" xr:uid="{4F6159AE-D5C8-4A48-AE6C-D9B710A4094B}"/>
    <hyperlink ref="B7" r:id="rId5" xr:uid="{1DC8768B-31F6-0344-BFA2-891F0E67AC77}"/>
    <hyperlink ref="C7" r:id="rId6" xr:uid="{3D806EF2-3FF5-5542-9D2B-5744B713D348}"/>
    <hyperlink ref="B8" r:id="rId7" xr:uid="{CDEC0926-08DE-C544-B366-9AFAAADF9C2D}"/>
    <hyperlink ref="B9" r:id="rId8" xr:uid="{237A353B-D7B7-9644-A557-20A0351D09B1}"/>
    <hyperlink ref="B10" r:id="rId9" xr:uid="{7B3B3D8B-657C-1A4D-B06E-33180402EA97}"/>
    <hyperlink ref="B11" r:id="rId10" xr:uid="{419E7B60-2D46-8A48-90A8-BD80E1841DB4}"/>
    <hyperlink ref="B12" r:id="rId11" xr:uid="{D839C292-2203-CF4D-A25B-5B62E4D9B98D}"/>
    <hyperlink ref="B13" r:id="rId12" xr:uid="{AB828CA0-E786-B846-B150-5FD7DE646F49}"/>
    <hyperlink ref="B14" r:id="rId13" xr:uid="{F4BA0316-1D06-3B49-B3F4-7C0454B1986E}"/>
    <hyperlink ref="B18" r:id="rId14" xr:uid="{11298BB3-4B0D-1849-9220-66747DB1410E}"/>
    <hyperlink ref="B5" r:id="rId15" xr:uid="{04EDC2CE-57F0-DA41-A32A-E5D48EF41C41}"/>
    <hyperlink ref="B15" r:id="rId16" xr:uid="{EAB1ACB2-517D-C44E-9E67-9DD405DF5CCF}"/>
    <hyperlink ref="B20" r:id="rId17" xr:uid="{9F7BB4DA-DA8F-AD40-AB3C-E71258940EDF}"/>
    <hyperlink ref="B21" r:id="rId18" xr:uid="{9C6AD5AE-7BD1-4743-8516-4E58C15FCD3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E544-FDC0-8C4D-99B0-F1643593A36E}">
  <dimension ref="A1:L21"/>
  <sheetViews>
    <sheetView zoomScaleNormal="100" workbookViewId="0">
      <selection activeCell="D5" sqref="D5"/>
    </sheetView>
  </sheetViews>
  <sheetFormatPr baseColWidth="10" defaultRowHeight="16" x14ac:dyDescent="0.2"/>
  <cols>
    <col min="1" max="1" width="13.33203125" customWidth="1"/>
    <col min="2" max="2" width="33.83203125" customWidth="1"/>
    <col min="3" max="3" width="32.33203125" customWidth="1"/>
    <col min="4" max="4" width="26.33203125" customWidth="1"/>
    <col min="5" max="5" width="29" customWidth="1"/>
    <col min="6" max="6" width="18" customWidth="1"/>
    <col min="7" max="7" width="93.1640625" bestFit="1" customWidth="1"/>
    <col min="8" max="8" width="20.1640625" customWidth="1"/>
    <col min="9" max="9" width="25.33203125" bestFit="1" customWidth="1"/>
    <col min="10" max="10" width="38.6640625" bestFit="1" customWidth="1"/>
    <col min="11" max="11" width="26.1640625" bestFit="1" customWidth="1"/>
    <col min="12" max="12" width="224.5" customWidth="1"/>
  </cols>
  <sheetData>
    <row r="1" spans="1:12" ht="17" x14ac:dyDescent="0.2">
      <c r="A1" s="15" t="s">
        <v>0</v>
      </c>
      <c r="B1" s="15" t="s">
        <v>1</v>
      </c>
      <c r="C1" s="15" t="s">
        <v>2</v>
      </c>
      <c r="D1" s="15" t="s">
        <v>3</v>
      </c>
      <c r="E1" s="15" t="s">
        <v>4</v>
      </c>
      <c r="F1" s="15" t="s">
        <v>5</v>
      </c>
      <c r="G1" s="15" t="s">
        <v>6</v>
      </c>
      <c r="H1" s="15" t="s">
        <v>7</v>
      </c>
      <c r="I1" s="15" t="s">
        <v>8</v>
      </c>
      <c r="J1" s="15" t="s">
        <v>9</v>
      </c>
      <c r="K1" s="15" t="s">
        <v>10</v>
      </c>
      <c r="L1" s="15" t="s">
        <v>11</v>
      </c>
    </row>
    <row r="2" spans="1:12" ht="187" x14ac:dyDescent="0.2">
      <c r="A2" s="15" t="s">
        <v>14</v>
      </c>
      <c r="B2" s="15" t="s">
        <v>15</v>
      </c>
      <c r="C2" s="15" t="s">
        <v>349</v>
      </c>
      <c r="D2" s="15" t="s">
        <v>17</v>
      </c>
      <c r="E2" s="15" t="s">
        <v>18</v>
      </c>
      <c r="F2" s="15" t="s">
        <v>350</v>
      </c>
      <c r="G2" s="15"/>
      <c r="H2" s="15" t="s">
        <v>351</v>
      </c>
      <c r="I2" s="15" t="s">
        <v>13</v>
      </c>
      <c r="J2" s="15" t="s">
        <v>352</v>
      </c>
      <c r="K2" s="15" t="s">
        <v>353</v>
      </c>
      <c r="L2" s="15" t="s">
        <v>354</v>
      </c>
    </row>
    <row r="3" spans="1:12" ht="102" x14ac:dyDescent="0.2">
      <c r="A3" s="15" t="s">
        <v>24</v>
      </c>
      <c r="B3" s="15" t="s">
        <v>25</v>
      </c>
      <c r="C3" s="15" t="s">
        <v>355</v>
      </c>
      <c r="D3" s="15" t="s">
        <v>356</v>
      </c>
      <c r="E3" s="15" t="s">
        <v>357</v>
      </c>
      <c r="F3" s="15" t="s">
        <v>33</v>
      </c>
      <c r="G3" s="15"/>
      <c r="H3" s="15" t="s">
        <v>351</v>
      </c>
      <c r="I3" s="15" t="s">
        <v>13</v>
      </c>
      <c r="J3" s="15" t="s">
        <v>31</v>
      </c>
      <c r="K3" s="15"/>
      <c r="L3" s="15" t="s">
        <v>358</v>
      </c>
    </row>
    <row r="4" spans="1:12" ht="409.5" x14ac:dyDescent="0.2">
      <c r="A4" s="15" t="s">
        <v>35</v>
      </c>
      <c r="B4" s="16" t="s">
        <v>36</v>
      </c>
      <c r="C4" s="15" t="s">
        <v>359</v>
      </c>
      <c r="D4" s="15" t="s">
        <v>360</v>
      </c>
      <c r="E4" s="15" t="s">
        <v>361</v>
      </c>
      <c r="F4" s="15" t="s">
        <v>362</v>
      </c>
      <c r="G4" s="15" t="s">
        <v>363</v>
      </c>
      <c r="H4" s="15" t="s">
        <v>364</v>
      </c>
      <c r="I4" s="15" t="s">
        <v>43</v>
      </c>
      <c r="J4" s="15" t="s">
        <v>31</v>
      </c>
      <c r="K4" s="15" t="s">
        <v>365</v>
      </c>
      <c r="L4" s="15" t="s">
        <v>366</v>
      </c>
    </row>
    <row r="5" spans="1:12" ht="221" customHeight="1" x14ac:dyDescent="0.2">
      <c r="A5" s="15" t="s">
        <v>46</v>
      </c>
      <c r="B5" s="16" t="s">
        <v>47</v>
      </c>
      <c r="C5" s="15" t="s">
        <v>367</v>
      </c>
      <c r="D5" s="15" t="s">
        <v>368</v>
      </c>
      <c r="E5" s="15" t="s">
        <v>369</v>
      </c>
      <c r="F5" s="15" t="s">
        <v>370</v>
      </c>
      <c r="G5" s="15" t="s">
        <v>371</v>
      </c>
      <c r="H5" s="15" t="s">
        <v>372</v>
      </c>
      <c r="I5" s="15" t="s">
        <v>43</v>
      </c>
      <c r="J5" s="15" t="s">
        <v>31</v>
      </c>
      <c r="K5" s="15" t="s">
        <v>373</v>
      </c>
      <c r="L5" s="15" t="s">
        <v>374</v>
      </c>
    </row>
    <row r="6" spans="1:12" ht="170" x14ac:dyDescent="0.2">
      <c r="A6" s="15" t="s">
        <v>55</v>
      </c>
      <c r="B6" s="15" t="s">
        <v>56</v>
      </c>
      <c r="C6" s="15" t="s">
        <v>375</v>
      </c>
      <c r="D6" s="15" t="s">
        <v>58</v>
      </c>
      <c r="E6" s="15" t="s">
        <v>59</v>
      </c>
      <c r="F6" s="15" t="s">
        <v>60</v>
      </c>
      <c r="G6" s="15" t="s">
        <v>376</v>
      </c>
      <c r="H6" s="15" t="s">
        <v>377</v>
      </c>
      <c r="I6" s="15" t="s">
        <v>13</v>
      </c>
      <c r="J6" s="15" t="s">
        <v>31</v>
      </c>
      <c r="K6" s="15"/>
      <c r="L6" s="15" t="s">
        <v>378</v>
      </c>
    </row>
    <row r="7" spans="1:12" ht="153" x14ac:dyDescent="0.2">
      <c r="A7" s="15" t="s">
        <v>64</v>
      </c>
      <c r="B7" s="15" t="s">
        <v>65</v>
      </c>
      <c r="C7" s="15" t="s">
        <v>379</v>
      </c>
      <c r="D7" s="15" t="s">
        <v>66</v>
      </c>
      <c r="E7" s="15" t="s">
        <v>67</v>
      </c>
      <c r="F7" s="15" t="s">
        <v>380</v>
      </c>
      <c r="G7" s="15" t="s">
        <v>69</v>
      </c>
      <c r="H7" s="15" t="s">
        <v>70</v>
      </c>
      <c r="I7" s="15" t="s">
        <v>13</v>
      </c>
      <c r="J7" s="15" t="s">
        <v>31</v>
      </c>
      <c r="K7" s="15" t="s">
        <v>122</v>
      </c>
      <c r="L7" s="15" t="s">
        <v>381</v>
      </c>
    </row>
    <row r="8" spans="1:12" ht="119" x14ac:dyDescent="0.2">
      <c r="A8" s="15" t="s">
        <v>71</v>
      </c>
      <c r="B8" s="15" t="s">
        <v>72</v>
      </c>
      <c r="C8" s="15" t="s">
        <v>382</v>
      </c>
      <c r="D8" s="15" t="s">
        <v>383</v>
      </c>
      <c r="E8" s="15" t="s">
        <v>384</v>
      </c>
      <c r="F8" s="15" t="s">
        <v>385</v>
      </c>
      <c r="G8" s="15" t="s">
        <v>386</v>
      </c>
      <c r="H8" s="15" t="s">
        <v>387</v>
      </c>
      <c r="I8" s="15" t="s">
        <v>13</v>
      </c>
      <c r="J8" s="15" t="s">
        <v>44</v>
      </c>
      <c r="K8" s="15"/>
      <c r="L8" s="15" t="s">
        <v>79</v>
      </c>
    </row>
    <row r="9" spans="1:12" ht="119" x14ac:dyDescent="0.2">
      <c r="A9" s="15" t="s">
        <v>80</v>
      </c>
      <c r="B9" s="15" t="s">
        <v>81</v>
      </c>
      <c r="C9" s="15" t="s">
        <v>388</v>
      </c>
      <c r="D9" s="15" t="s">
        <v>389</v>
      </c>
      <c r="E9" s="15" t="s">
        <v>390</v>
      </c>
      <c r="F9" s="15" t="s">
        <v>175</v>
      </c>
      <c r="G9" s="15"/>
      <c r="H9" s="15" t="s">
        <v>391</v>
      </c>
      <c r="I9" s="15" t="s">
        <v>13</v>
      </c>
      <c r="J9" s="15" t="s">
        <v>31</v>
      </c>
      <c r="K9" s="15"/>
      <c r="L9" s="15" t="s">
        <v>392</v>
      </c>
    </row>
    <row r="10" spans="1:12" ht="85" x14ac:dyDescent="0.2">
      <c r="A10" s="15" t="s">
        <v>88</v>
      </c>
      <c r="B10" s="15" t="s">
        <v>89</v>
      </c>
      <c r="C10" s="15" t="s">
        <v>393</v>
      </c>
      <c r="D10" s="15" t="s">
        <v>394</v>
      </c>
      <c r="E10" s="15" t="s">
        <v>395</v>
      </c>
      <c r="F10" s="15" t="s">
        <v>33</v>
      </c>
      <c r="G10" s="15" t="s">
        <v>396</v>
      </c>
      <c r="H10" s="15" t="s">
        <v>397</v>
      </c>
      <c r="I10" s="15" t="s">
        <v>43</v>
      </c>
      <c r="J10" s="15" t="s">
        <v>398</v>
      </c>
      <c r="K10" s="15" t="s">
        <v>97</v>
      </c>
      <c r="L10" s="15" t="s">
        <v>399</v>
      </c>
    </row>
    <row r="11" spans="1:12" ht="102" x14ac:dyDescent="0.2">
      <c r="A11" s="15" t="s">
        <v>99</v>
      </c>
      <c r="B11" s="15" t="s">
        <v>100</v>
      </c>
      <c r="C11" s="15" t="s">
        <v>400</v>
      </c>
      <c r="D11" s="15" t="s">
        <v>27</v>
      </c>
      <c r="E11" s="15" t="s">
        <v>401</v>
      </c>
      <c r="F11" s="15" t="s">
        <v>175</v>
      </c>
      <c r="G11" s="15" t="s">
        <v>402</v>
      </c>
      <c r="H11" s="15" t="s">
        <v>105</v>
      </c>
      <c r="I11" s="15" t="s">
        <v>13</v>
      </c>
      <c r="J11" s="15" t="s">
        <v>403</v>
      </c>
      <c r="K11" s="15" t="s">
        <v>107</v>
      </c>
      <c r="L11" s="15" t="s">
        <v>404</v>
      </c>
    </row>
    <row r="12" spans="1:12" ht="85" x14ac:dyDescent="0.2">
      <c r="A12" s="15" t="s">
        <v>109</v>
      </c>
      <c r="B12" s="15" t="s">
        <v>110</v>
      </c>
      <c r="C12" s="15" t="s">
        <v>405</v>
      </c>
      <c r="D12" s="15" t="s">
        <v>112</v>
      </c>
      <c r="E12" s="15" t="s">
        <v>127</v>
      </c>
      <c r="F12" s="15" t="s">
        <v>406</v>
      </c>
      <c r="G12" s="15"/>
      <c r="H12" s="15" t="s">
        <v>30</v>
      </c>
      <c r="I12" s="15" t="s">
        <v>13</v>
      </c>
      <c r="J12" s="15" t="s">
        <v>31</v>
      </c>
      <c r="K12" s="15"/>
      <c r="L12" s="15" t="s">
        <v>407</v>
      </c>
    </row>
    <row r="13" spans="1:12" ht="85" x14ac:dyDescent="0.2">
      <c r="A13" s="15" t="s">
        <v>115</v>
      </c>
      <c r="B13" s="15" t="s">
        <v>116</v>
      </c>
      <c r="C13" s="15" t="s">
        <v>408</v>
      </c>
      <c r="D13" s="15" t="s">
        <v>409</v>
      </c>
      <c r="E13" s="15" t="s">
        <v>103</v>
      </c>
      <c r="F13" s="15" t="s">
        <v>410</v>
      </c>
      <c r="G13" s="15" t="s">
        <v>411</v>
      </c>
      <c r="H13" s="15" t="s">
        <v>121</v>
      </c>
      <c r="I13" s="15" t="s">
        <v>13</v>
      </c>
      <c r="J13" s="15" t="s">
        <v>44</v>
      </c>
      <c r="K13" s="15" t="s">
        <v>412</v>
      </c>
      <c r="L13" s="15" t="s">
        <v>413</v>
      </c>
    </row>
    <row r="14" spans="1:12" ht="85" x14ac:dyDescent="0.2">
      <c r="A14" s="15" t="s">
        <v>124</v>
      </c>
      <c r="B14" s="16" t="s">
        <v>125</v>
      </c>
      <c r="C14" s="15" t="s">
        <v>414</v>
      </c>
      <c r="D14" s="15" t="s">
        <v>127</v>
      </c>
      <c r="E14" s="15" t="s">
        <v>127</v>
      </c>
      <c r="F14" s="15" t="s">
        <v>29</v>
      </c>
      <c r="G14" s="15"/>
      <c r="H14" s="15" t="s">
        <v>415</v>
      </c>
      <c r="I14" s="15" t="s">
        <v>13</v>
      </c>
      <c r="J14" s="15" t="s">
        <v>31</v>
      </c>
      <c r="K14" s="15" t="s">
        <v>122</v>
      </c>
      <c r="L14" s="15" t="s">
        <v>416</v>
      </c>
    </row>
    <row r="15" spans="1:12" ht="136" x14ac:dyDescent="0.2">
      <c r="A15" s="15" t="s">
        <v>130</v>
      </c>
      <c r="B15" s="15" t="s">
        <v>131</v>
      </c>
      <c r="C15" s="15" t="s">
        <v>417</v>
      </c>
      <c r="D15" s="15" t="s">
        <v>418</v>
      </c>
      <c r="E15" s="15" t="s">
        <v>419</v>
      </c>
      <c r="F15" s="15" t="s">
        <v>420</v>
      </c>
      <c r="G15" s="15" t="s">
        <v>421</v>
      </c>
      <c r="H15" s="15" t="s">
        <v>422</v>
      </c>
      <c r="I15" s="15" t="s">
        <v>13</v>
      </c>
      <c r="J15" s="15" t="s">
        <v>44</v>
      </c>
      <c r="K15" s="15"/>
      <c r="L15" s="15" t="s">
        <v>423</v>
      </c>
    </row>
    <row r="16" spans="1:12" ht="153" x14ac:dyDescent="0.2">
      <c r="A16" s="15" t="s">
        <v>137</v>
      </c>
      <c r="B16" s="16" t="s">
        <v>138</v>
      </c>
      <c r="C16" s="15" t="s">
        <v>424</v>
      </c>
      <c r="D16" s="15" t="s">
        <v>140</v>
      </c>
      <c r="E16" s="15" t="s">
        <v>425</v>
      </c>
      <c r="F16" s="15" t="s">
        <v>51</v>
      </c>
      <c r="G16" s="15" t="s">
        <v>426</v>
      </c>
      <c r="H16" s="15" t="s">
        <v>427</v>
      </c>
      <c r="I16" s="15" t="s">
        <v>43</v>
      </c>
      <c r="J16" s="15" t="s">
        <v>144</v>
      </c>
      <c r="K16" s="15" t="s">
        <v>145</v>
      </c>
      <c r="L16" s="15" t="s">
        <v>146</v>
      </c>
    </row>
    <row r="17" spans="1:12" ht="238" x14ac:dyDescent="0.2">
      <c r="A17" s="15" t="s">
        <v>147</v>
      </c>
      <c r="B17" s="16" t="s">
        <v>148</v>
      </c>
      <c r="C17" s="15" t="s">
        <v>428</v>
      </c>
      <c r="D17" s="15" t="s">
        <v>429</v>
      </c>
      <c r="E17" s="15" t="s">
        <v>369</v>
      </c>
      <c r="F17" s="15" t="s">
        <v>12</v>
      </c>
      <c r="G17" s="15" t="s">
        <v>430</v>
      </c>
      <c r="H17" s="15" t="s">
        <v>431</v>
      </c>
      <c r="I17" s="15" t="s">
        <v>43</v>
      </c>
      <c r="J17" s="15" t="s">
        <v>31</v>
      </c>
      <c r="K17" s="15"/>
      <c r="L17" s="15" t="s">
        <v>432</v>
      </c>
    </row>
    <row r="18" spans="1:12" ht="170" x14ac:dyDescent="0.2">
      <c r="A18" s="15" t="s">
        <v>154</v>
      </c>
      <c r="B18" s="15" t="s">
        <v>155</v>
      </c>
      <c r="C18" s="15" t="s">
        <v>433</v>
      </c>
      <c r="D18" s="15" t="s">
        <v>434</v>
      </c>
      <c r="E18" s="15" t="s">
        <v>158</v>
      </c>
      <c r="F18" s="15" t="s">
        <v>380</v>
      </c>
      <c r="G18" s="15" t="s">
        <v>386</v>
      </c>
      <c r="H18" s="15" t="s">
        <v>435</v>
      </c>
      <c r="I18" s="15" t="s">
        <v>43</v>
      </c>
      <c r="J18" s="15" t="s">
        <v>31</v>
      </c>
      <c r="K18" s="15"/>
      <c r="L18" s="15" t="s">
        <v>436</v>
      </c>
    </row>
    <row r="19" spans="1:12" ht="170" x14ac:dyDescent="0.2">
      <c r="A19" s="15" t="s">
        <v>163</v>
      </c>
      <c r="B19" s="16" t="s">
        <v>164</v>
      </c>
      <c r="C19" s="15" t="s">
        <v>437</v>
      </c>
      <c r="D19" s="15" t="s">
        <v>166</v>
      </c>
      <c r="E19" s="15" t="s">
        <v>438</v>
      </c>
      <c r="F19" s="15" t="s">
        <v>60</v>
      </c>
      <c r="G19" s="15" t="s">
        <v>439</v>
      </c>
      <c r="H19" s="15" t="s">
        <v>440</v>
      </c>
      <c r="I19" s="15" t="s">
        <v>43</v>
      </c>
      <c r="J19" s="15" t="s">
        <v>31</v>
      </c>
      <c r="K19" s="15" t="s">
        <v>122</v>
      </c>
      <c r="L19" s="15" t="s">
        <v>441</v>
      </c>
    </row>
    <row r="20" spans="1:12" ht="136" x14ac:dyDescent="0.2">
      <c r="A20" s="15" t="s">
        <v>171</v>
      </c>
      <c r="B20" s="15" t="s">
        <v>172</v>
      </c>
      <c r="C20" s="15" t="s">
        <v>442</v>
      </c>
      <c r="D20" s="15" t="s">
        <v>112</v>
      </c>
      <c r="E20" s="15" t="s">
        <v>443</v>
      </c>
      <c r="F20" s="15" t="s">
        <v>175</v>
      </c>
      <c r="G20" s="15" t="s">
        <v>176</v>
      </c>
      <c r="H20" s="15" t="s">
        <v>444</v>
      </c>
      <c r="I20" s="15" t="s">
        <v>43</v>
      </c>
      <c r="J20" s="15" t="s">
        <v>31</v>
      </c>
      <c r="K20" s="15" t="s">
        <v>122</v>
      </c>
      <c r="L20" s="15" t="s">
        <v>445</v>
      </c>
    </row>
    <row r="21" spans="1:12" ht="119" x14ac:dyDescent="0.2">
      <c r="A21" s="15" t="s">
        <v>178</v>
      </c>
      <c r="B21" s="15" t="s">
        <v>179</v>
      </c>
      <c r="C21" s="15" t="s">
        <v>446</v>
      </c>
      <c r="D21" s="15" t="s">
        <v>447</v>
      </c>
      <c r="E21" s="15" t="s">
        <v>401</v>
      </c>
      <c r="F21" s="15" t="s">
        <v>175</v>
      </c>
      <c r="G21" s="15" t="s">
        <v>448</v>
      </c>
      <c r="H21" s="15" t="s">
        <v>449</v>
      </c>
      <c r="I21" s="15" t="s">
        <v>43</v>
      </c>
      <c r="J21" s="15" t="s">
        <v>31</v>
      </c>
      <c r="K21" s="15"/>
      <c r="L21" s="15"/>
    </row>
  </sheetData>
  <hyperlinks>
    <hyperlink ref="B4" r:id="rId1" xr:uid="{5912D51D-AC4F-4B48-A345-634249EF2705}"/>
    <hyperlink ref="B5" r:id="rId2" xr:uid="{6660AE35-0ED8-0041-8AB8-DAE8204C2CBE}"/>
    <hyperlink ref="B14" r:id="rId3" xr:uid="{2D70FC57-33A5-954B-A1F8-3072C853AD5B}"/>
    <hyperlink ref="B17" r:id="rId4" xr:uid="{46C3E0AC-8CF1-A448-A302-0D5177F441BF}"/>
    <hyperlink ref="B16" r:id="rId5" xr:uid="{4DDDCA4F-F593-D94C-883C-32300B40682D}"/>
    <hyperlink ref="B19" r:id="rId6" xr:uid="{02053C1F-425B-964A-8626-0723A29CF2C5}"/>
  </hyperlinks>
  <pageMargins left="0.7" right="0.7" top="0.75" bottom="0.75" header="0.3" footer="0.3"/>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D080C-D0D9-A34F-A505-32FCAC166AB0}">
  <dimension ref="A1:L30"/>
  <sheetViews>
    <sheetView tabSelected="1" topLeftCell="B1" workbookViewId="0">
      <selection activeCell="L4" sqref="L4"/>
    </sheetView>
  </sheetViews>
  <sheetFormatPr baseColWidth="10" defaultRowHeight="16" x14ac:dyDescent="0.2"/>
  <cols>
    <col min="1" max="1" width="16.33203125" customWidth="1"/>
    <col min="2" max="2" width="28.6640625" customWidth="1"/>
    <col min="3" max="3" width="36.83203125" customWidth="1"/>
    <col min="4" max="4" width="16" customWidth="1"/>
    <col min="5" max="5" width="17" customWidth="1"/>
    <col min="6" max="6" width="18" customWidth="1"/>
    <col min="7" max="7" width="21.33203125" customWidth="1"/>
    <col min="8" max="8" width="22.83203125" customWidth="1"/>
    <col min="9" max="9" width="14.1640625" customWidth="1"/>
    <col min="10" max="10" width="15.5" customWidth="1"/>
    <col min="11" max="11" width="14.6640625" customWidth="1"/>
    <col min="12" max="12" width="116.5" customWidth="1"/>
  </cols>
  <sheetData>
    <row r="1" spans="1:12" ht="20" customHeight="1" x14ac:dyDescent="0.2">
      <c r="A1" s="15" t="s">
        <v>0</v>
      </c>
      <c r="B1" s="15" t="s">
        <v>1</v>
      </c>
      <c r="C1" s="15" t="s">
        <v>2</v>
      </c>
      <c r="D1" s="15" t="s">
        <v>3</v>
      </c>
      <c r="E1" s="15" t="s">
        <v>4</v>
      </c>
      <c r="F1" s="15" t="s">
        <v>5</v>
      </c>
      <c r="G1" s="15" t="s">
        <v>6</v>
      </c>
      <c r="H1" s="15" t="s">
        <v>7</v>
      </c>
      <c r="I1" s="15" t="s">
        <v>8</v>
      </c>
      <c r="J1" s="15" t="s">
        <v>9</v>
      </c>
      <c r="K1" s="15" t="s">
        <v>10</v>
      </c>
      <c r="L1" s="15" t="s">
        <v>11</v>
      </c>
    </row>
    <row r="2" spans="1:12" ht="165" customHeight="1" x14ac:dyDescent="0.2">
      <c r="A2" s="15" t="s">
        <v>14</v>
      </c>
      <c r="B2" s="15" t="s">
        <v>15</v>
      </c>
      <c r="C2" s="15" t="s">
        <v>458</v>
      </c>
      <c r="D2" s="15" t="s">
        <v>459</v>
      </c>
      <c r="E2" s="15" t="s">
        <v>460</v>
      </c>
      <c r="F2" s="15" t="s">
        <v>461</v>
      </c>
      <c r="G2" s="15"/>
      <c r="H2" s="15" t="s">
        <v>351</v>
      </c>
      <c r="I2" s="15" t="s">
        <v>13</v>
      </c>
      <c r="J2" s="15" t="s">
        <v>106</v>
      </c>
      <c r="K2" s="15" t="s">
        <v>462</v>
      </c>
      <c r="L2" s="15" t="s">
        <v>463</v>
      </c>
    </row>
    <row r="3" spans="1:12" ht="85" x14ac:dyDescent="0.2">
      <c r="A3" s="15" t="s">
        <v>24</v>
      </c>
      <c r="B3" s="15" t="s">
        <v>25</v>
      </c>
      <c r="C3" s="15" t="s">
        <v>464</v>
      </c>
      <c r="D3" s="15" t="s">
        <v>465</v>
      </c>
      <c r="E3" s="15" t="s">
        <v>466</v>
      </c>
      <c r="F3" s="15" t="s">
        <v>467</v>
      </c>
      <c r="G3" s="15"/>
      <c r="H3" s="15" t="s">
        <v>468</v>
      </c>
      <c r="I3" s="15" t="s">
        <v>13</v>
      </c>
      <c r="J3" s="15" t="s">
        <v>469</v>
      </c>
      <c r="K3" s="15"/>
      <c r="L3" s="15" t="s">
        <v>470</v>
      </c>
    </row>
    <row r="4" spans="1:12" ht="119" x14ac:dyDescent="0.2">
      <c r="A4" s="15" t="s">
        <v>471</v>
      </c>
      <c r="B4" s="15" t="s">
        <v>472</v>
      </c>
      <c r="C4" s="15" t="s">
        <v>473</v>
      </c>
      <c r="D4" s="15" t="s">
        <v>474</v>
      </c>
      <c r="E4" s="15" t="s">
        <v>475</v>
      </c>
      <c r="F4" s="15" t="s">
        <v>476</v>
      </c>
      <c r="G4" s="15" t="s">
        <v>477</v>
      </c>
      <c r="H4" s="15" t="s">
        <v>478</v>
      </c>
      <c r="I4" s="15" t="s">
        <v>43</v>
      </c>
      <c r="J4" s="15" t="s">
        <v>479</v>
      </c>
      <c r="K4" s="15" t="s">
        <v>480</v>
      </c>
      <c r="L4" s="15" t="s">
        <v>481</v>
      </c>
    </row>
    <row r="5" spans="1:12" ht="153" x14ac:dyDescent="0.2">
      <c r="A5" s="15" t="s">
        <v>35</v>
      </c>
      <c r="B5" s="15" t="s">
        <v>36</v>
      </c>
      <c r="C5" s="15" t="s">
        <v>482</v>
      </c>
      <c r="D5" s="15" t="s">
        <v>483</v>
      </c>
      <c r="E5" s="15" t="s">
        <v>484</v>
      </c>
      <c r="F5" s="15" t="s">
        <v>485</v>
      </c>
      <c r="G5" s="15"/>
      <c r="H5" s="15" t="s">
        <v>486</v>
      </c>
      <c r="I5" s="15" t="s">
        <v>43</v>
      </c>
      <c r="J5" s="15" t="s">
        <v>469</v>
      </c>
      <c r="K5" s="15" t="s">
        <v>487</v>
      </c>
      <c r="L5" s="15" t="s">
        <v>488</v>
      </c>
    </row>
    <row r="6" spans="1:12" ht="187" x14ac:dyDescent="0.2">
      <c r="A6" s="15" t="s">
        <v>46</v>
      </c>
      <c r="B6" s="15" t="s">
        <v>47</v>
      </c>
      <c r="C6" s="15" t="s">
        <v>489</v>
      </c>
      <c r="D6" s="15" t="s">
        <v>490</v>
      </c>
      <c r="E6" s="15" t="s">
        <v>491</v>
      </c>
      <c r="F6" s="15" t="s">
        <v>492</v>
      </c>
      <c r="G6" s="15" t="s">
        <v>493</v>
      </c>
      <c r="H6" s="15" t="s">
        <v>494</v>
      </c>
      <c r="I6" s="15" t="s">
        <v>13</v>
      </c>
      <c r="J6" s="15" t="s">
        <v>44</v>
      </c>
      <c r="K6" s="15" t="s">
        <v>122</v>
      </c>
      <c r="L6" s="15" t="s">
        <v>495</v>
      </c>
    </row>
    <row r="7" spans="1:12" ht="102" x14ac:dyDescent="0.2">
      <c r="A7" s="15" t="s">
        <v>55</v>
      </c>
      <c r="B7" s="15" t="s">
        <v>56</v>
      </c>
      <c r="C7" s="15" t="s">
        <v>496</v>
      </c>
      <c r="D7" s="15" t="s">
        <v>497</v>
      </c>
      <c r="E7" s="15" t="s">
        <v>498</v>
      </c>
      <c r="F7" s="15" t="s">
        <v>499</v>
      </c>
      <c r="G7" s="15"/>
      <c r="H7" s="15"/>
      <c r="I7" s="15"/>
      <c r="J7" s="15"/>
      <c r="K7" s="15"/>
      <c r="L7" s="15"/>
    </row>
    <row r="8" spans="1:12" ht="136" x14ac:dyDescent="0.2">
      <c r="A8" s="15" t="s">
        <v>64</v>
      </c>
      <c r="B8" s="15" t="s">
        <v>65</v>
      </c>
      <c r="C8" s="15" t="s">
        <v>500</v>
      </c>
      <c r="D8" s="15" t="s">
        <v>501</v>
      </c>
      <c r="E8" s="15" t="s">
        <v>502</v>
      </c>
      <c r="F8" s="15" t="s">
        <v>503</v>
      </c>
      <c r="G8" s="15" t="s">
        <v>504</v>
      </c>
      <c r="H8" s="15" t="s">
        <v>505</v>
      </c>
      <c r="I8" s="15" t="s">
        <v>13</v>
      </c>
      <c r="J8" s="15" t="s">
        <v>44</v>
      </c>
      <c r="K8" s="15" t="s">
        <v>122</v>
      </c>
      <c r="L8" s="15"/>
    </row>
    <row r="9" spans="1:12" ht="238" x14ac:dyDescent="0.2">
      <c r="A9" s="15" t="s">
        <v>506</v>
      </c>
      <c r="B9" s="15" t="s">
        <v>507</v>
      </c>
      <c r="C9" s="15" t="s">
        <v>508</v>
      </c>
      <c r="D9" s="15" t="s">
        <v>509</v>
      </c>
      <c r="E9" s="15" t="s">
        <v>510</v>
      </c>
      <c r="F9" s="15" t="s">
        <v>511</v>
      </c>
      <c r="G9" s="15" t="s">
        <v>512</v>
      </c>
      <c r="H9" s="15" t="s">
        <v>513</v>
      </c>
      <c r="I9" s="15" t="s">
        <v>13</v>
      </c>
      <c r="J9" s="15" t="s">
        <v>514</v>
      </c>
      <c r="K9" s="15" t="s">
        <v>145</v>
      </c>
      <c r="L9" s="15" t="s">
        <v>515</v>
      </c>
    </row>
    <row r="10" spans="1:12" ht="102" x14ac:dyDescent="0.2">
      <c r="A10" s="15" t="s">
        <v>71</v>
      </c>
      <c r="B10" s="15" t="s">
        <v>72</v>
      </c>
      <c r="C10" s="15" t="s">
        <v>516</v>
      </c>
      <c r="D10" s="15" t="s">
        <v>517</v>
      </c>
      <c r="E10" s="15" t="s">
        <v>518</v>
      </c>
      <c r="F10" s="15" t="s">
        <v>485</v>
      </c>
      <c r="G10" s="15"/>
      <c r="H10" s="15" t="s">
        <v>519</v>
      </c>
      <c r="I10" s="15" t="s">
        <v>13</v>
      </c>
      <c r="J10" s="15" t="s">
        <v>520</v>
      </c>
      <c r="K10" s="15" t="s">
        <v>521</v>
      </c>
      <c r="L10" s="15" t="s">
        <v>79</v>
      </c>
    </row>
    <row r="11" spans="1:12" ht="85" x14ac:dyDescent="0.2">
      <c r="A11" s="15" t="s">
        <v>80</v>
      </c>
      <c r="B11" s="15" t="s">
        <v>81</v>
      </c>
      <c r="C11" s="15" t="s">
        <v>522</v>
      </c>
      <c r="D11" s="15" t="s">
        <v>523</v>
      </c>
      <c r="E11" s="15" t="s">
        <v>524</v>
      </c>
      <c r="F11" s="15" t="s">
        <v>485</v>
      </c>
      <c r="G11" s="15"/>
      <c r="H11" s="15" t="s">
        <v>525</v>
      </c>
      <c r="I11" s="15" t="s">
        <v>13</v>
      </c>
      <c r="J11" s="15" t="s">
        <v>44</v>
      </c>
      <c r="K11" s="15" t="s">
        <v>122</v>
      </c>
      <c r="L11" s="15" t="s">
        <v>526</v>
      </c>
    </row>
    <row r="12" spans="1:12" ht="136" x14ac:dyDescent="0.2">
      <c r="A12" s="15" t="s">
        <v>88</v>
      </c>
      <c r="B12" s="15" t="s">
        <v>89</v>
      </c>
      <c r="C12" s="15" t="s">
        <v>527</v>
      </c>
      <c r="D12" s="15" t="s">
        <v>528</v>
      </c>
      <c r="E12" s="15" t="s">
        <v>529</v>
      </c>
      <c r="F12" s="15" t="s">
        <v>530</v>
      </c>
      <c r="G12" s="15" t="s">
        <v>531</v>
      </c>
      <c r="H12" s="15" t="s">
        <v>532</v>
      </c>
      <c r="I12" s="15" t="s">
        <v>43</v>
      </c>
      <c r="J12" s="15" t="s">
        <v>96</v>
      </c>
      <c r="K12" s="15" t="s">
        <v>97</v>
      </c>
      <c r="L12" s="15" t="s">
        <v>533</v>
      </c>
    </row>
    <row r="13" spans="1:12" ht="204" x14ac:dyDescent="0.2">
      <c r="A13" s="15" t="s">
        <v>99</v>
      </c>
      <c r="B13" s="15" t="s">
        <v>100</v>
      </c>
      <c r="C13" s="15" t="s">
        <v>534</v>
      </c>
      <c r="D13" s="15" t="s">
        <v>459</v>
      </c>
      <c r="E13" s="15" t="s">
        <v>535</v>
      </c>
      <c r="F13" s="15" t="s">
        <v>536</v>
      </c>
      <c r="G13" s="15"/>
      <c r="H13" s="15" t="s">
        <v>537</v>
      </c>
      <c r="I13" s="15" t="s">
        <v>13</v>
      </c>
      <c r="J13" s="15" t="s">
        <v>106</v>
      </c>
      <c r="K13" s="15" t="s">
        <v>107</v>
      </c>
      <c r="L13" s="15" t="s">
        <v>538</v>
      </c>
    </row>
    <row r="14" spans="1:12" ht="85" x14ac:dyDescent="0.2">
      <c r="A14" s="15" t="s">
        <v>109</v>
      </c>
      <c r="B14" s="15" t="s">
        <v>110</v>
      </c>
      <c r="C14" s="15" t="s">
        <v>539</v>
      </c>
      <c r="D14" s="15" t="s">
        <v>540</v>
      </c>
      <c r="E14" s="15" t="s">
        <v>541</v>
      </c>
      <c r="F14" s="15" t="s">
        <v>536</v>
      </c>
      <c r="G14" s="15"/>
      <c r="H14" s="15" t="s">
        <v>542</v>
      </c>
      <c r="I14" s="15" t="s">
        <v>13</v>
      </c>
      <c r="J14" s="15" t="s">
        <v>469</v>
      </c>
      <c r="K14" s="15"/>
      <c r="L14" s="15"/>
    </row>
    <row r="15" spans="1:12" ht="136" x14ac:dyDescent="0.2">
      <c r="A15" s="15" t="s">
        <v>115</v>
      </c>
      <c r="B15" s="15" t="s">
        <v>116</v>
      </c>
      <c r="C15" s="15" t="s">
        <v>543</v>
      </c>
      <c r="D15" s="15" t="s">
        <v>544</v>
      </c>
      <c r="E15" s="15" t="s">
        <v>545</v>
      </c>
      <c r="F15" s="15" t="s">
        <v>546</v>
      </c>
      <c r="G15" s="15" t="s">
        <v>547</v>
      </c>
      <c r="H15" s="15" t="s">
        <v>548</v>
      </c>
      <c r="I15" s="15" t="s">
        <v>13</v>
      </c>
      <c r="J15" s="15" t="s">
        <v>469</v>
      </c>
      <c r="K15" s="15"/>
      <c r="L15" s="15" t="s">
        <v>549</v>
      </c>
    </row>
    <row r="16" spans="1:12" ht="68" x14ac:dyDescent="0.2">
      <c r="A16" s="15" t="s">
        <v>124</v>
      </c>
      <c r="B16" s="15" t="s">
        <v>125</v>
      </c>
      <c r="C16" s="15" t="s">
        <v>550</v>
      </c>
      <c r="D16" s="15" t="s">
        <v>551</v>
      </c>
      <c r="E16" s="15" t="s">
        <v>552</v>
      </c>
      <c r="F16" s="15" t="s">
        <v>485</v>
      </c>
      <c r="G16" s="15"/>
      <c r="H16" s="15" t="s">
        <v>553</v>
      </c>
      <c r="I16" s="15" t="s">
        <v>13</v>
      </c>
      <c r="J16" s="15" t="s">
        <v>44</v>
      </c>
      <c r="K16" s="15" t="s">
        <v>122</v>
      </c>
      <c r="L16" s="15" t="s">
        <v>554</v>
      </c>
    </row>
    <row r="17" spans="1:12" ht="221" x14ac:dyDescent="0.2">
      <c r="A17" s="15" t="s">
        <v>130</v>
      </c>
      <c r="B17" s="15" t="s">
        <v>131</v>
      </c>
      <c r="C17" s="15" t="s">
        <v>555</v>
      </c>
      <c r="D17" s="15" t="s">
        <v>418</v>
      </c>
      <c r="E17" s="15" t="s">
        <v>556</v>
      </c>
      <c r="F17" s="15" t="s">
        <v>420</v>
      </c>
      <c r="G17" s="15" t="s">
        <v>557</v>
      </c>
      <c r="H17" s="15" t="s">
        <v>558</v>
      </c>
      <c r="I17" s="15" t="s">
        <v>13</v>
      </c>
      <c r="J17" s="15" t="s">
        <v>44</v>
      </c>
      <c r="K17" s="15" t="s">
        <v>122</v>
      </c>
      <c r="L17" s="15" t="s">
        <v>559</v>
      </c>
    </row>
    <row r="18" spans="1:12" ht="102" x14ac:dyDescent="0.2">
      <c r="A18" s="15" t="s">
        <v>137</v>
      </c>
      <c r="B18" s="15" t="s">
        <v>138</v>
      </c>
      <c r="C18" s="15" t="s">
        <v>560</v>
      </c>
      <c r="D18" s="15" t="s">
        <v>561</v>
      </c>
      <c r="E18" s="15" t="s">
        <v>484</v>
      </c>
      <c r="F18" s="15" t="s">
        <v>562</v>
      </c>
      <c r="G18" s="15"/>
      <c r="H18" s="15" t="s">
        <v>563</v>
      </c>
      <c r="I18" s="15" t="s">
        <v>13</v>
      </c>
      <c r="J18" s="15" t="s">
        <v>514</v>
      </c>
      <c r="K18" s="15" t="s">
        <v>145</v>
      </c>
      <c r="L18" s="15" t="s">
        <v>146</v>
      </c>
    </row>
    <row r="19" spans="1:12" ht="204" x14ac:dyDescent="0.2">
      <c r="A19" s="15" t="s">
        <v>564</v>
      </c>
      <c r="B19" s="15" t="s">
        <v>565</v>
      </c>
      <c r="C19" s="15" t="s">
        <v>566</v>
      </c>
      <c r="D19" s="15" t="s">
        <v>567</v>
      </c>
      <c r="E19" s="15" t="s">
        <v>568</v>
      </c>
      <c r="F19" s="15" t="s">
        <v>536</v>
      </c>
      <c r="G19" s="15"/>
      <c r="H19" s="15" t="s">
        <v>569</v>
      </c>
      <c r="I19" s="15" t="s">
        <v>13</v>
      </c>
      <c r="J19" s="15" t="s">
        <v>469</v>
      </c>
      <c r="K19" s="15"/>
      <c r="L19" s="15" t="s">
        <v>570</v>
      </c>
    </row>
    <row r="20" spans="1:12" ht="136" x14ac:dyDescent="0.2">
      <c r="A20" s="15" t="s">
        <v>147</v>
      </c>
      <c r="B20" s="15" t="s">
        <v>148</v>
      </c>
      <c r="C20" s="15" t="s">
        <v>571</v>
      </c>
      <c r="D20" s="15" t="s">
        <v>118</v>
      </c>
      <c r="E20" s="15" t="s">
        <v>572</v>
      </c>
      <c r="F20" s="15" t="s">
        <v>420</v>
      </c>
      <c r="G20" s="15" t="s">
        <v>547</v>
      </c>
      <c r="H20" s="15" t="s">
        <v>431</v>
      </c>
      <c r="I20" s="15" t="s">
        <v>13</v>
      </c>
      <c r="J20" s="15" t="s">
        <v>44</v>
      </c>
      <c r="K20" s="15" t="s">
        <v>122</v>
      </c>
      <c r="L20" s="15" t="s">
        <v>573</v>
      </c>
    </row>
    <row r="21" spans="1:12" ht="119" x14ac:dyDescent="0.2">
      <c r="A21" s="15" t="s">
        <v>574</v>
      </c>
      <c r="B21" s="15" t="s">
        <v>575</v>
      </c>
      <c r="C21" s="15" t="s">
        <v>576</v>
      </c>
      <c r="D21" s="15" t="s">
        <v>577</v>
      </c>
      <c r="E21" s="15" t="s">
        <v>578</v>
      </c>
      <c r="F21" s="15" t="s">
        <v>492</v>
      </c>
      <c r="G21" s="15" t="s">
        <v>512</v>
      </c>
      <c r="H21" s="15" t="s">
        <v>579</v>
      </c>
      <c r="I21" s="15" t="s">
        <v>13</v>
      </c>
      <c r="J21" s="15" t="s">
        <v>469</v>
      </c>
      <c r="K21" s="15"/>
      <c r="L21" s="15" t="s">
        <v>580</v>
      </c>
    </row>
    <row r="22" spans="1:12" ht="119" x14ac:dyDescent="0.2">
      <c r="A22" s="15" t="s">
        <v>581</v>
      </c>
      <c r="B22" s="16" t="s">
        <v>582</v>
      </c>
      <c r="C22" s="15" t="s">
        <v>583</v>
      </c>
      <c r="D22" s="15" t="s">
        <v>584</v>
      </c>
      <c r="E22" s="15" t="s">
        <v>535</v>
      </c>
      <c r="F22" s="15" t="s">
        <v>467</v>
      </c>
      <c r="G22" s="15"/>
      <c r="H22" s="15" t="s">
        <v>585</v>
      </c>
      <c r="I22" s="15" t="s">
        <v>13</v>
      </c>
      <c r="J22" s="15" t="s">
        <v>44</v>
      </c>
      <c r="K22" s="15" t="s">
        <v>122</v>
      </c>
      <c r="L22" s="15" t="s">
        <v>586</v>
      </c>
    </row>
    <row r="23" spans="1:12" ht="119" x14ac:dyDescent="0.2">
      <c r="A23" s="15" t="s">
        <v>154</v>
      </c>
      <c r="B23" s="15" t="s">
        <v>155</v>
      </c>
      <c r="C23" s="15" t="s">
        <v>587</v>
      </c>
      <c r="D23" s="15" t="s">
        <v>588</v>
      </c>
      <c r="E23" s="15" t="s">
        <v>589</v>
      </c>
      <c r="F23" s="15" t="s">
        <v>590</v>
      </c>
      <c r="G23" s="15" t="s">
        <v>386</v>
      </c>
      <c r="H23" s="15" t="s">
        <v>591</v>
      </c>
      <c r="I23" s="15" t="s">
        <v>13</v>
      </c>
      <c r="J23" s="15" t="s">
        <v>44</v>
      </c>
      <c r="K23" s="15" t="s">
        <v>122</v>
      </c>
      <c r="L23" s="15" t="s">
        <v>592</v>
      </c>
    </row>
    <row r="24" spans="1:12" ht="136" x14ac:dyDescent="0.2">
      <c r="A24" s="15" t="s">
        <v>163</v>
      </c>
      <c r="B24" s="15" t="s">
        <v>164</v>
      </c>
      <c r="C24" s="15" t="s">
        <v>593</v>
      </c>
      <c r="D24" s="15" t="s">
        <v>594</v>
      </c>
      <c r="E24" s="15" t="s">
        <v>595</v>
      </c>
      <c r="F24" s="15" t="s">
        <v>119</v>
      </c>
      <c r="G24" s="15" t="s">
        <v>69</v>
      </c>
      <c r="H24" s="15" t="s">
        <v>596</v>
      </c>
      <c r="I24" s="15" t="s">
        <v>13</v>
      </c>
      <c r="J24" s="15" t="s">
        <v>96</v>
      </c>
      <c r="K24" s="15" t="s">
        <v>122</v>
      </c>
      <c r="L24" s="15"/>
    </row>
    <row r="25" spans="1:12" ht="119" x14ac:dyDescent="0.2">
      <c r="A25" s="15" t="s">
        <v>597</v>
      </c>
      <c r="B25" s="15" t="s">
        <v>598</v>
      </c>
      <c r="C25" s="15" t="s">
        <v>599</v>
      </c>
      <c r="D25" s="15" t="s">
        <v>600</v>
      </c>
      <c r="E25" s="15" t="s">
        <v>601</v>
      </c>
      <c r="F25" s="15" t="s">
        <v>476</v>
      </c>
      <c r="G25" s="15" t="s">
        <v>602</v>
      </c>
      <c r="H25" s="15" t="s">
        <v>603</v>
      </c>
      <c r="I25" s="15" t="s">
        <v>13</v>
      </c>
      <c r="J25" s="15" t="s">
        <v>44</v>
      </c>
      <c r="K25" s="15" t="s">
        <v>122</v>
      </c>
      <c r="L25" s="15"/>
    </row>
    <row r="26" spans="1:12" ht="68" x14ac:dyDescent="0.2">
      <c r="A26" s="15" t="s">
        <v>171</v>
      </c>
      <c r="B26" s="15" t="s">
        <v>172</v>
      </c>
      <c r="C26" s="15" t="s">
        <v>604</v>
      </c>
      <c r="D26" s="15" t="s">
        <v>540</v>
      </c>
      <c r="E26" s="15" t="s">
        <v>605</v>
      </c>
      <c r="F26" s="15" t="s">
        <v>536</v>
      </c>
      <c r="G26" s="15" t="s">
        <v>69</v>
      </c>
      <c r="H26" s="15" t="s">
        <v>606</v>
      </c>
      <c r="I26" s="15" t="s">
        <v>13</v>
      </c>
      <c r="J26" s="15" t="s">
        <v>44</v>
      </c>
      <c r="K26" s="15" t="s">
        <v>122</v>
      </c>
      <c r="L26" s="15" t="s">
        <v>607</v>
      </c>
    </row>
    <row r="27" spans="1:12" ht="119" x14ac:dyDescent="0.2">
      <c r="A27" s="15" t="s">
        <v>608</v>
      </c>
      <c r="B27" s="15" t="s">
        <v>609</v>
      </c>
      <c r="C27" s="15" t="s">
        <v>610</v>
      </c>
      <c r="D27" s="15" t="s">
        <v>611</v>
      </c>
      <c r="E27" s="15" t="s">
        <v>612</v>
      </c>
      <c r="F27" s="15" t="s">
        <v>613</v>
      </c>
      <c r="G27" s="15" t="s">
        <v>614</v>
      </c>
      <c r="H27" s="15" t="s">
        <v>615</v>
      </c>
      <c r="I27" s="15" t="s">
        <v>43</v>
      </c>
      <c r="J27" s="15" t="s">
        <v>469</v>
      </c>
      <c r="K27" s="15"/>
      <c r="L27" s="15" t="s">
        <v>616</v>
      </c>
    </row>
    <row r="28" spans="1:12" ht="68" x14ac:dyDescent="0.2">
      <c r="A28" s="15" t="s">
        <v>617</v>
      </c>
      <c r="B28" s="16" t="s">
        <v>618</v>
      </c>
      <c r="C28" s="15" t="s">
        <v>619</v>
      </c>
      <c r="D28" s="15" t="s">
        <v>620</v>
      </c>
      <c r="E28" s="15" t="s">
        <v>621</v>
      </c>
      <c r="F28" s="15" t="s">
        <v>119</v>
      </c>
      <c r="G28" s="15" t="s">
        <v>69</v>
      </c>
      <c r="H28" s="15" t="s">
        <v>622</v>
      </c>
      <c r="I28" s="15" t="s">
        <v>13</v>
      </c>
      <c r="J28" s="15" t="s">
        <v>44</v>
      </c>
      <c r="K28" s="15" t="s">
        <v>122</v>
      </c>
      <c r="L28" s="15"/>
    </row>
    <row r="29" spans="1:12" ht="119" x14ac:dyDescent="0.2">
      <c r="A29" s="15" t="s">
        <v>623</v>
      </c>
      <c r="B29" s="15" t="s">
        <v>624</v>
      </c>
      <c r="C29" s="15" t="s">
        <v>625</v>
      </c>
      <c r="D29" s="15" t="s">
        <v>626</v>
      </c>
      <c r="E29" s="15" t="s">
        <v>627</v>
      </c>
      <c r="F29" s="15" t="s">
        <v>467</v>
      </c>
      <c r="G29" s="15"/>
      <c r="H29" s="15" t="s">
        <v>628</v>
      </c>
      <c r="I29" s="15" t="s">
        <v>13</v>
      </c>
      <c r="J29" s="15" t="s">
        <v>629</v>
      </c>
      <c r="K29" s="15" t="s">
        <v>630</v>
      </c>
      <c r="L29" s="15" t="s">
        <v>631</v>
      </c>
    </row>
    <row r="30" spans="1:12" ht="102" x14ac:dyDescent="0.2">
      <c r="A30" s="15" t="s">
        <v>178</v>
      </c>
      <c r="B30" s="15" t="s">
        <v>179</v>
      </c>
      <c r="C30" s="15" t="s">
        <v>632</v>
      </c>
      <c r="D30" s="15" t="s">
        <v>633</v>
      </c>
      <c r="E30" s="15" t="s">
        <v>634</v>
      </c>
      <c r="F30" s="15" t="s">
        <v>536</v>
      </c>
      <c r="G30" s="15" t="s">
        <v>69</v>
      </c>
      <c r="H30" s="15" t="s">
        <v>635</v>
      </c>
      <c r="I30" s="15" t="s">
        <v>13</v>
      </c>
      <c r="J30" s="15" t="s">
        <v>44</v>
      </c>
      <c r="K30" s="15" t="s">
        <v>122</v>
      </c>
      <c r="L30" s="15"/>
    </row>
  </sheetData>
  <hyperlinks>
    <hyperlink ref="B22" r:id="rId1" xr:uid="{B104CBFF-EA83-5C46-8B08-05ACCCE41B78}"/>
    <hyperlink ref="B28" r:id="rId2" xr:uid="{0AE2ED63-2753-1A49-94D8-7A671BA2288A}"/>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12D51-08B9-954E-BC3C-4846818D6EE1}">
  <dimension ref="A1:M12"/>
  <sheetViews>
    <sheetView workbookViewId="0">
      <selection activeCell="H14" sqref="H14"/>
    </sheetView>
  </sheetViews>
  <sheetFormatPr baseColWidth="10" defaultRowHeight="16" x14ac:dyDescent="0.2"/>
  <cols>
    <col min="1" max="1" width="24.33203125" customWidth="1"/>
    <col min="2" max="2" width="11.1640625" customWidth="1"/>
    <col min="3" max="3" width="14" customWidth="1"/>
    <col min="4" max="4" width="14.33203125" customWidth="1"/>
    <col min="5" max="5" width="15.83203125" customWidth="1"/>
    <col min="6" max="6" width="16.6640625" customWidth="1"/>
    <col min="7" max="7" width="13.83203125" customWidth="1"/>
    <col min="8" max="8" width="13" customWidth="1"/>
    <col min="9" max="9" width="12.1640625" customWidth="1"/>
    <col min="10" max="10" width="13" customWidth="1"/>
    <col min="11" max="11" width="11.1640625" customWidth="1"/>
    <col min="12" max="12" width="14.5" customWidth="1"/>
    <col min="13" max="13" width="99.33203125" customWidth="1"/>
  </cols>
  <sheetData>
    <row r="1" spans="1:13" ht="19" x14ac:dyDescent="0.25">
      <c r="A1" s="12" t="s">
        <v>184</v>
      </c>
      <c r="B1" s="11" t="s">
        <v>198</v>
      </c>
      <c r="C1" s="11" t="s">
        <v>246</v>
      </c>
      <c r="D1" s="11" t="s">
        <v>200</v>
      </c>
      <c r="E1" s="11" t="s">
        <v>201</v>
      </c>
      <c r="F1" s="11" t="s">
        <v>247</v>
      </c>
      <c r="G1" s="11" t="s">
        <v>248</v>
      </c>
      <c r="H1" s="11" t="s">
        <v>204</v>
      </c>
      <c r="I1" s="11" t="s">
        <v>231</v>
      </c>
      <c r="J1" s="11" t="s">
        <v>234</v>
      </c>
      <c r="K1" s="11" t="s">
        <v>238</v>
      </c>
      <c r="L1" s="11" t="s">
        <v>249</v>
      </c>
      <c r="M1" s="13" t="s">
        <v>250</v>
      </c>
    </row>
    <row r="2" spans="1:13" ht="85" x14ac:dyDescent="0.2">
      <c r="A2" s="3" t="s">
        <v>14</v>
      </c>
      <c r="B2" s="3">
        <v>3</v>
      </c>
      <c r="C2" s="3">
        <v>4</v>
      </c>
      <c r="D2" s="3">
        <v>4</v>
      </c>
      <c r="E2" s="3">
        <v>4</v>
      </c>
      <c r="F2" s="3">
        <v>4</v>
      </c>
      <c r="G2" s="3">
        <v>3</v>
      </c>
      <c r="H2" s="3">
        <v>4</v>
      </c>
      <c r="I2" s="3">
        <v>4</v>
      </c>
      <c r="J2" s="3">
        <v>2</v>
      </c>
      <c r="K2" s="3">
        <v>3</v>
      </c>
      <c r="L2" s="3" cm="1">
        <f t="array" ref="L2">SUM(Table2[[#This Row],[Summary]:[Transcript]]/10)</f>
        <v>3.4999999999999996</v>
      </c>
      <c r="M2" s="3" t="s">
        <v>254</v>
      </c>
    </row>
    <row r="3" spans="1:13" ht="102" x14ac:dyDescent="0.2">
      <c r="A3" s="3" t="s">
        <v>24</v>
      </c>
      <c r="B3" s="3">
        <v>1</v>
      </c>
      <c r="C3" s="3">
        <v>4</v>
      </c>
      <c r="D3" s="3">
        <v>2</v>
      </c>
      <c r="E3" s="3">
        <v>4</v>
      </c>
      <c r="F3" s="3">
        <v>4</v>
      </c>
      <c r="G3" s="3">
        <v>4</v>
      </c>
      <c r="H3" s="3">
        <v>1</v>
      </c>
      <c r="I3" s="3">
        <v>4</v>
      </c>
      <c r="J3" s="3">
        <v>4</v>
      </c>
      <c r="K3" s="3">
        <v>3</v>
      </c>
      <c r="L3" s="3" cm="1">
        <f t="array" ref="L3">SUM(Table2[[#This Row],[Summary]:[Transcript]]/10)</f>
        <v>3.0999999999999996</v>
      </c>
      <c r="M3" s="3" t="s">
        <v>252</v>
      </c>
    </row>
    <row r="4" spans="1:13" ht="71" customHeight="1" x14ac:dyDescent="0.2">
      <c r="A4" s="3" t="s">
        <v>35</v>
      </c>
      <c r="B4" s="3">
        <v>3</v>
      </c>
      <c r="C4" s="3">
        <v>2</v>
      </c>
      <c r="D4" s="3">
        <v>4</v>
      </c>
      <c r="E4" s="3">
        <v>4</v>
      </c>
      <c r="F4" s="3">
        <v>4</v>
      </c>
      <c r="G4" s="3">
        <v>3</v>
      </c>
      <c r="H4" s="3">
        <v>4</v>
      </c>
      <c r="I4" s="3">
        <v>4</v>
      </c>
      <c r="J4" s="3">
        <v>4</v>
      </c>
      <c r="K4" s="3">
        <v>3</v>
      </c>
      <c r="L4" s="3" cm="1">
        <f t="array" ref="L4">SUM(Table2[[#This Row],[Summary]:[Transcript]]/10)</f>
        <v>3.4999999999999996</v>
      </c>
      <c r="M4" s="3" t="s">
        <v>253</v>
      </c>
    </row>
    <row r="5" spans="1:13" ht="68" x14ac:dyDescent="0.2">
      <c r="A5" s="3" t="s">
        <v>46</v>
      </c>
      <c r="B5" s="3">
        <v>4</v>
      </c>
      <c r="C5" s="3">
        <v>4</v>
      </c>
      <c r="D5" s="3">
        <v>4</v>
      </c>
      <c r="E5" s="3">
        <v>4</v>
      </c>
      <c r="F5" s="3">
        <v>2</v>
      </c>
      <c r="G5" s="3">
        <v>3</v>
      </c>
      <c r="H5" s="3">
        <v>4</v>
      </c>
      <c r="I5" s="3">
        <v>4</v>
      </c>
      <c r="J5" s="3">
        <v>4</v>
      </c>
      <c r="K5" s="3">
        <v>2</v>
      </c>
      <c r="L5" s="3" cm="1">
        <f t="array" ref="L5">SUM(Table2[[#This Row],[Summary]:[Transcript]]/10)</f>
        <v>3.5</v>
      </c>
      <c r="M5" s="3" t="s">
        <v>276</v>
      </c>
    </row>
    <row r="6" spans="1:13" ht="17" x14ac:dyDescent="0.2">
      <c r="A6" s="3" t="s">
        <v>55</v>
      </c>
      <c r="B6" s="3">
        <v>4</v>
      </c>
      <c r="C6" s="3">
        <v>4</v>
      </c>
      <c r="D6" s="3">
        <v>4</v>
      </c>
      <c r="E6" s="3">
        <v>4</v>
      </c>
      <c r="F6" s="3">
        <v>4</v>
      </c>
      <c r="G6" s="3">
        <v>4</v>
      </c>
      <c r="H6" s="3">
        <v>4</v>
      </c>
      <c r="I6" s="3">
        <v>4</v>
      </c>
      <c r="J6" s="3">
        <v>4</v>
      </c>
      <c r="K6" s="3">
        <v>4</v>
      </c>
      <c r="L6" s="3" cm="1">
        <f t="array" ref="L6">SUM(Table2[[#This Row],[Summary]:[Transcript]]/10)</f>
        <v>3.9999999999999996</v>
      </c>
      <c r="M6" s="3" t="s">
        <v>255</v>
      </c>
    </row>
    <row r="7" spans="1:13" ht="17" x14ac:dyDescent="0.2">
      <c r="A7" s="3" t="s">
        <v>64</v>
      </c>
      <c r="B7" s="3">
        <v>4</v>
      </c>
      <c r="C7" s="3">
        <v>4</v>
      </c>
      <c r="D7" s="3">
        <v>4</v>
      </c>
      <c r="E7" s="3">
        <v>4</v>
      </c>
      <c r="F7" s="3">
        <v>3</v>
      </c>
      <c r="G7" s="3">
        <v>4</v>
      </c>
      <c r="H7" s="3">
        <v>4</v>
      </c>
      <c r="I7" s="3">
        <v>4</v>
      </c>
      <c r="J7" s="3">
        <v>4</v>
      </c>
      <c r="K7" s="3">
        <v>4</v>
      </c>
      <c r="L7" s="3" cm="1">
        <f t="array" ref="L7">SUM(Table2[[#This Row],[Summary]:[Transcript]]/10)</f>
        <v>3.9</v>
      </c>
      <c r="M7" s="3" t="s">
        <v>256</v>
      </c>
    </row>
    <row r="8" spans="1:13" ht="34" x14ac:dyDescent="0.2">
      <c r="A8" s="3" t="s">
        <v>71</v>
      </c>
      <c r="B8" s="3">
        <v>4</v>
      </c>
      <c r="C8" s="3">
        <v>4</v>
      </c>
      <c r="D8" s="3">
        <v>4</v>
      </c>
      <c r="E8" s="3">
        <v>4</v>
      </c>
      <c r="F8" s="3">
        <v>3</v>
      </c>
      <c r="G8" s="3">
        <v>3</v>
      </c>
      <c r="H8" s="3">
        <v>4</v>
      </c>
      <c r="I8" s="3">
        <v>2</v>
      </c>
      <c r="J8" s="3">
        <v>2</v>
      </c>
      <c r="K8" s="3">
        <v>4</v>
      </c>
      <c r="L8" s="3" cm="1">
        <f t="array" ref="L8">SUM(Table2[[#This Row],[Summary]:[Transcript]]/10)</f>
        <v>3.4000000000000004</v>
      </c>
      <c r="M8" s="3" t="s">
        <v>257</v>
      </c>
    </row>
    <row r="9" spans="1:13" ht="51" x14ac:dyDescent="0.2">
      <c r="A9" s="3" t="s">
        <v>80</v>
      </c>
      <c r="B9" s="3">
        <v>4</v>
      </c>
      <c r="C9" s="3">
        <v>4</v>
      </c>
      <c r="D9" s="3">
        <v>4</v>
      </c>
      <c r="E9" s="3">
        <v>4</v>
      </c>
      <c r="F9" s="3">
        <v>4</v>
      </c>
      <c r="G9" s="3">
        <v>4</v>
      </c>
      <c r="H9" s="3">
        <v>4</v>
      </c>
      <c r="I9" s="3">
        <v>4</v>
      </c>
      <c r="J9" s="3">
        <v>4</v>
      </c>
      <c r="K9" s="3">
        <v>4</v>
      </c>
      <c r="L9" s="3" cm="1">
        <f t="array" ref="L9">SUM(Table2[[#This Row],[Summary]:[Transcript]]/10)</f>
        <v>3.9999999999999996</v>
      </c>
      <c r="M9" s="3" t="s">
        <v>258</v>
      </c>
    </row>
    <row r="10" spans="1:13" ht="51" x14ac:dyDescent="0.2">
      <c r="A10" s="3" t="s">
        <v>88</v>
      </c>
      <c r="B10" s="3">
        <v>4</v>
      </c>
      <c r="C10" s="3">
        <v>4</v>
      </c>
      <c r="D10" s="3">
        <v>4</v>
      </c>
      <c r="E10" s="3">
        <v>4</v>
      </c>
      <c r="F10" s="3">
        <v>3</v>
      </c>
      <c r="G10" s="3">
        <v>4</v>
      </c>
      <c r="H10" s="3">
        <v>4</v>
      </c>
      <c r="I10" s="3">
        <v>4</v>
      </c>
      <c r="J10" s="3">
        <v>4</v>
      </c>
      <c r="K10" s="3">
        <v>3</v>
      </c>
      <c r="L10" s="3" cm="1">
        <f t="array" ref="L10">SUM(Table2[[#This Row],[Summary]:[Transcript]]/10)</f>
        <v>3.8</v>
      </c>
      <c r="M10" s="3" t="s">
        <v>259</v>
      </c>
    </row>
    <row r="11" spans="1:13" ht="85" x14ac:dyDescent="0.2">
      <c r="A11" s="3" t="s">
        <v>115</v>
      </c>
      <c r="B11" s="3">
        <v>3</v>
      </c>
      <c r="C11" s="3">
        <v>3</v>
      </c>
      <c r="D11" s="3">
        <v>4</v>
      </c>
      <c r="E11" s="3">
        <v>4</v>
      </c>
      <c r="F11" s="3">
        <v>4</v>
      </c>
      <c r="G11" s="3">
        <v>4</v>
      </c>
      <c r="H11" s="3">
        <v>4</v>
      </c>
      <c r="I11" s="3">
        <v>1</v>
      </c>
      <c r="J11" s="3">
        <v>1</v>
      </c>
      <c r="K11" s="3">
        <v>4</v>
      </c>
      <c r="L11" s="3" cm="1">
        <f t="array" ref="L11">SUM(Table2[[#This Row],[Summary]:[Transcript]]/10)</f>
        <v>3.1999999999999997</v>
      </c>
      <c r="M11" s="3" t="s">
        <v>269</v>
      </c>
    </row>
    <row r="12" spans="1:13" ht="34" x14ac:dyDescent="0.2">
      <c r="A12" s="3" t="s">
        <v>124</v>
      </c>
      <c r="B12" s="3">
        <v>4</v>
      </c>
      <c r="C12" s="3">
        <v>0</v>
      </c>
      <c r="D12" s="3">
        <v>0</v>
      </c>
      <c r="E12" s="3">
        <v>1</v>
      </c>
      <c r="F12" s="3">
        <v>4</v>
      </c>
      <c r="G12" s="3">
        <v>4</v>
      </c>
      <c r="H12" s="3">
        <v>4</v>
      </c>
      <c r="I12" s="3">
        <v>4</v>
      </c>
      <c r="J12" s="3">
        <v>4</v>
      </c>
      <c r="K12" s="3">
        <v>4</v>
      </c>
      <c r="L12" s="3" cm="1">
        <f t="array" ref="L12">SUM(Table2[[#This Row],[Summary]:[Transcript]]/10)</f>
        <v>2.9</v>
      </c>
      <c r="M12" s="3" t="s">
        <v>275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C1BB5-B301-5D4C-9D79-2DCA98E3A561}">
  <dimension ref="A1:E19"/>
  <sheetViews>
    <sheetView workbookViewId="0">
      <selection activeCell="C25" sqref="C25"/>
    </sheetView>
  </sheetViews>
  <sheetFormatPr baseColWidth="10" defaultRowHeight="16" x14ac:dyDescent="0.2"/>
  <cols>
    <col min="1" max="1" width="27.6640625" customWidth="1"/>
    <col min="2" max="2" width="47" customWidth="1"/>
    <col min="3" max="3" width="42.6640625" customWidth="1"/>
    <col min="4" max="4" width="25" customWidth="1"/>
    <col min="5" max="5" width="42.6640625" customWidth="1"/>
    <col min="6" max="6" width="24.33203125" customWidth="1"/>
    <col min="7" max="7" width="12.1640625" customWidth="1"/>
    <col min="9" max="9" width="45.1640625" customWidth="1"/>
    <col min="13" max="13" width="29.6640625" customWidth="1"/>
    <col min="18" max="18" width="14.6640625" customWidth="1"/>
  </cols>
  <sheetData>
    <row r="1" spans="1:5" ht="22" x14ac:dyDescent="0.3">
      <c r="A1" s="10" t="s">
        <v>208</v>
      </c>
    </row>
    <row r="2" spans="1:5" ht="49" customHeight="1" x14ac:dyDescent="0.2">
      <c r="A2" s="9" t="s">
        <v>216</v>
      </c>
      <c r="B2" s="9" t="s">
        <v>205</v>
      </c>
      <c r="C2" s="9" t="s">
        <v>206</v>
      </c>
      <c r="D2" s="9" t="s">
        <v>242</v>
      </c>
      <c r="E2" s="9" t="s">
        <v>207</v>
      </c>
    </row>
    <row r="3" spans="1:5" ht="46" customHeight="1" x14ac:dyDescent="0.2">
      <c r="A3" s="7" t="s">
        <v>198</v>
      </c>
      <c r="B3" s="1" t="s">
        <v>209</v>
      </c>
      <c r="C3" s="1" t="s">
        <v>217</v>
      </c>
      <c r="E3" s="1" t="s">
        <v>218</v>
      </c>
    </row>
    <row r="4" spans="1:5" ht="51" x14ac:dyDescent="0.2">
      <c r="A4" t="s">
        <v>199</v>
      </c>
      <c r="B4" s="1" t="s">
        <v>210</v>
      </c>
      <c r="C4" s="1" t="s">
        <v>219</v>
      </c>
      <c r="E4" s="1" t="s">
        <v>251</v>
      </c>
    </row>
    <row r="5" spans="1:5" ht="51" x14ac:dyDescent="0.2">
      <c r="A5" t="s">
        <v>200</v>
      </c>
      <c r="B5" s="1" t="s">
        <v>211</v>
      </c>
      <c r="C5" s="1" t="s">
        <v>220</v>
      </c>
      <c r="D5" t="s">
        <v>245</v>
      </c>
      <c r="E5" s="1" t="s">
        <v>221</v>
      </c>
    </row>
    <row r="6" spans="1:5" ht="51" x14ac:dyDescent="0.2">
      <c r="A6" t="s">
        <v>201</v>
      </c>
      <c r="B6" s="1" t="s">
        <v>212</v>
      </c>
      <c r="C6" s="1" t="s">
        <v>222</v>
      </c>
      <c r="E6" s="1" t="s">
        <v>223</v>
      </c>
    </row>
    <row r="7" spans="1:5" ht="34" x14ac:dyDescent="0.2">
      <c r="A7" t="s">
        <v>202</v>
      </c>
      <c r="B7" s="1" t="s">
        <v>213</v>
      </c>
      <c r="C7" s="1" t="s">
        <v>224</v>
      </c>
      <c r="E7" s="1" t="s">
        <v>225</v>
      </c>
    </row>
    <row r="8" spans="1:5" ht="51" x14ac:dyDescent="0.2">
      <c r="A8" t="s">
        <v>203</v>
      </c>
      <c r="B8" s="1" t="s">
        <v>214</v>
      </c>
      <c r="C8" s="1" t="s">
        <v>226</v>
      </c>
      <c r="D8" s="1" t="s">
        <v>244</v>
      </c>
      <c r="E8" s="1" t="s">
        <v>227</v>
      </c>
    </row>
    <row r="9" spans="1:5" ht="51" x14ac:dyDescent="0.2">
      <c r="A9" t="s">
        <v>204</v>
      </c>
      <c r="B9" s="1" t="s">
        <v>215</v>
      </c>
      <c r="C9" s="1" t="s">
        <v>228</v>
      </c>
      <c r="E9" s="1" t="s">
        <v>229</v>
      </c>
    </row>
    <row r="10" spans="1:5" ht="34" x14ac:dyDescent="0.2">
      <c r="A10" t="s">
        <v>231</v>
      </c>
      <c r="B10" s="1" t="s">
        <v>230</v>
      </c>
      <c r="C10" s="1" t="s">
        <v>232</v>
      </c>
      <c r="E10" s="1" t="s">
        <v>233</v>
      </c>
    </row>
    <row r="11" spans="1:5" ht="34" x14ac:dyDescent="0.2">
      <c r="A11" t="s">
        <v>234</v>
      </c>
      <c r="B11" s="1" t="s">
        <v>235</v>
      </c>
      <c r="C11" s="1" t="s">
        <v>236</v>
      </c>
      <c r="E11" s="1" t="s">
        <v>237</v>
      </c>
    </row>
    <row r="12" spans="1:5" ht="51" x14ac:dyDescent="0.2">
      <c r="A12" t="s">
        <v>238</v>
      </c>
      <c r="B12" s="1" t="s">
        <v>239</v>
      </c>
      <c r="C12" s="1" t="s">
        <v>240</v>
      </c>
      <c r="D12" s="1" t="s">
        <v>243</v>
      </c>
      <c r="E12" s="1" t="s">
        <v>241</v>
      </c>
    </row>
    <row r="14" spans="1:5" x14ac:dyDescent="0.2">
      <c r="A14" s="8" t="s">
        <v>185</v>
      </c>
      <c r="B14" s="8" t="s">
        <v>186</v>
      </c>
      <c r="C14" s="8" t="s">
        <v>187</v>
      </c>
    </row>
    <row r="15" spans="1:5" x14ac:dyDescent="0.2">
      <c r="A15" s="8">
        <v>4</v>
      </c>
      <c r="B15" t="s">
        <v>188</v>
      </c>
      <c r="C15" t="s">
        <v>189</v>
      </c>
    </row>
    <row r="16" spans="1:5" x14ac:dyDescent="0.2">
      <c r="A16" s="8">
        <v>3</v>
      </c>
      <c r="B16" t="s">
        <v>190</v>
      </c>
      <c r="C16" t="s">
        <v>191</v>
      </c>
    </row>
    <row r="17" spans="1:3" x14ac:dyDescent="0.2">
      <c r="A17" s="8">
        <v>2</v>
      </c>
      <c r="B17" t="s">
        <v>192</v>
      </c>
      <c r="C17" t="s">
        <v>193</v>
      </c>
    </row>
    <row r="18" spans="1:3" x14ac:dyDescent="0.2">
      <c r="A18" s="8">
        <v>1</v>
      </c>
      <c r="B18" t="s">
        <v>194</v>
      </c>
      <c r="C18" t="s">
        <v>195</v>
      </c>
    </row>
    <row r="19" spans="1:3" x14ac:dyDescent="0.2">
      <c r="A19" s="8">
        <v>0</v>
      </c>
      <c r="B19" t="s">
        <v>196</v>
      </c>
      <c r="C19" t="s">
        <v>197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C825-ECB2-2442-87FB-4351685B35AE}">
  <dimension ref="A1:S35"/>
  <sheetViews>
    <sheetView workbookViewId="0">
      <selection activeCell="I35" sqref="I35"/>
    </sheetView>
  </sheetViews>
  <sheetFormatPr baseColWidth="10" defaultRowHeight="16" x14ac:dyDescent="0.2"/>
  <sheetData>
    <row r="1" spans="1:19" x14ac:dyDescent="0.2">
      <c r="A1" s="9" t="s">
        <v>260</v>
      </c>
      <c r="O1" s="9" t="s">
        <v>270</v>
      </c>
      <c r="Q1" s="9" t="s">
        <v>200</v>
      </c>
      <c r="S1" s="9" t="s">
        <v>309</v>
      </c>
    </row>
    <row r="2" spans="1:19" x14ac:dyDescent="0.2">
      <c r="A2" t="s">
        <v>261</v>
      </c>
      <c r="O2" t="s">
        <v>271</v>
      </c>
      <c r="Q2" t="s">
        <v>278</v>
      </c>
      <c r="S2" t="s">
        <v>310</v>
      </c>
    </row>
    <row r="3" spans="1:19" x14ac:dyDescent="0.2">
      <c r="A3" t="s">
        <v>262</v>
      </c>
      <c r="O3" t="s">
        <v>272</v>
      </c>
      <c r="Q3" t="s">
        <v>279</v>
      </c>
      <c r="S3" t="s">
        <v>311</v>
      </c>
    </row>
    <row r="4" spans="1:19" x14ac:dyDescent="0.2">
      <c r="A4" t="s">
        <v>263</v>
      </c>
      <c r="O4" t="s">
        <v>273</v>
      </c>
      <c r="Q4" t="s">
        <v>280</v>
      </c>
      <c r="S4" t="s">
        <v>312</v>
      </c>
    </row>
    <row r="5" spans="1:19" x14ac:dyDescent="0.2">
      <c r="A5" t="s">
        <v>264</v>
      </c>
      <c r="O5" t="s">
        <v>274</v>
      </c>
      <c r="Q5" t="s">
        <v>281</v>
      </c>
      <c r="S5" t="s">
        <v>315</v>
      </c>
    </row>
    <row r="6" spans="1:19" x14ac:dyDescent="0.2">
      <c r="A6" t="s">
        <v>265</v>
      </c>
      <c r="O6" t="s">
        <v>284</v>
      </c>
      <c r="Q6" t="s">
        <v>282</v>
      </c>
      <c r="S6" t="s">
        <v>316</v>
      </c>
    </row>
    <row r="7" spans="1:19" x14ac:dyDescent="0.2">
      <c r="A7" t="s">
        <v>266</v>
      </c>
      <c r="O7" t="s">
        <v>285</v>
      </c>
      <c r="Q7" t="s">
        <v>287</v>
      </c>
      <c r="S7" t="s">
        <v>317</v>
      </c>
    </row>
    <row r="8" spans="1:19" x14ac:dyDescent="0.2">
      <c r="A8" t="s">
        <v>267</v>
      </c>
      <c r="O8" t="s">
        <v>286</v>
      </c>
      <c r="Q8" t="s">
        <v>299</v>
      </c>
      <c r="S8" t="s">
        <v>318</v>
      </c>
    </row>
    <row r="9" spans="1:19" x14ac:dyDescent="0.2">
      <c r="A9" t="s">
        <v>268</v>
      </c>
      <c r="O9" t="s">
        <v>288</v>
      </c>
      <c r="Q9" t="s">
        <v>295</v>
      </c>
      <c r="S9" t="s">
        <v>319</v>
      </c>
    </row>
    <row r="10" spans="1:19" x14ac:dyDescent="0.2">
      <c r="A10" t="s">
        <v>277</v>
      </c>
      <c r="O10" t="s">
        <v>289</v>
      </c>
      <c r="Q10" t="s">
        <v>341</v>
      </c>
      <c r="S10" t="s">
        <v>324</v>
      </c>
    </row>
    <row r="11" spans="1:19" x14ac:dyDescent="0.2">
      <c r="A11" t="s">
        <v>283</v>
      </c>
      <c r="O11" t="s">
        <v>290</v>
      </c>
      <c r="Q11" t="s">
        <v>300</v>
      </c>
      <c r="S11" t="s">
        <v>325</v>
      </c>
    </row>
    <row r="12" spans="1:19" x14ac:dyDescent="0.2">
      <c r="O12" t="s">
        <v>291</v>
      </c>
      <c r="Q12" t="s">
        <v>306</v>
      </c>
      <c r="S12" t="s">
        <v>326</v>
      </c>
    </row>
    <row r="13" spans="1:19" x14ac:dyDescent="0.2">
      <c r="O13" t="s">
        <v>292</v>
      </c>
      <c r="Q13" t="s">
        <v>308</v>
      </c>
      <c r="S13" t="s">
        <v>327</v>
      </c>
    </row>
    <row r="14" spans="1:19" x14ac:dyDescent="0.2">
      <c r="O14" t="s">
        <v>293</v>
      </c>
      <c r="Q14" t="s">
        <v>332</v>
      </c>
      <c r="S14" t="s">
        <v>328</v>
      </c>
    </row>
    <row r="15" spans="1:19" x14ac:dyDescent="0.2">
      <c r="O15" t="s">
        <v>294</v>
      </c>
      <c r="Q15" t="s">
        <v>333</v>
      </c>
      <c r="S15" t="s">
        <v>329</v>
      </c>
    </row>
    <row r="16" spans="1:19" x14ac:dyDescent="0.2">
      <c r="O16" t="s">
        <v>296</v>
      </c>
      <c r="Q16" t="s">
        <v>334</v>
      </c>
      <c r="S16" t="s">
        <v>320</v>
      </c>
    </row>
    <row r="17" spans="1:19" x14ac:dyDescent="0.2">
      <c r="A17" s="17" t="s">
        <v>450</v>
      </c>
      <c r="O17" t="s">
        <v>297</v>
      </c>
      <c r="Q17" t="s">
        <v>336</v>
      </c>
      <c r="S17" t="s">
        <v>330</v>
      </c>
    </row>
    <row r="18" spans="1:19" x14ac:dyDescent="0.2">
      <c r="A18" s="18" t="s">
        <v>451</v>
      </c>
      <c r="O18" t="s">
        <v>298</v>
      </c>
      <c r="Q18" t="s">
        <v>338</v>
      </c>
      <c r="S18" t="s">
        <v>331</v>
      </c>
    </row>
    <row r="19" spans="1:19" x14ac:dyDescent="0.2">
      <c r="A19" t="s">
        <v>452</v>
      </c>
      <c r="O19" t="s">
        <v>302</v>
      </c>
      <c r="Q19" t="s">
        <v>339</v>
      </c>
    </row>
    <row r="20" spans="1:19" x14ac:dyDescent="0.2">
      <c r="A20" t="s">
        <v>453</v>
      </c>
      <c r="O20" t="s">
        <v>303</v>
      </c>
      <c r="Q20" t="s">
        <v>340</v>
      </c>
    </row>
    <row r="21" spans="1:19" x14ac:dyDescent="0.2">
      <c r="A21" t="s">
        <v>455</v>
      </c>
      <c r="O21" t="s">
        <v>301</v>
      </c>
      <c r="Q21" t="s">
        <v>342</v>
      </c>
    </row>
    <row r="22" spans="1:19" x14ac:dyDescent="0.2">
      <c r="A22" t="s">
        <v>454</v>
      </c>
      <c r="O22" t="s">
        <v>304</v>
      </c>
    </row>
    <row r="23" spans="1:19" x14ac:dyDescent="0.2">
      <c r="A23" t="s">
        <v>456</v>
      </c>
      <c r="O23" t="s">
        <v>305</v>
      </c>
    </row>
    <row r="24" spans="1:19" x14ac:dyDescent="0.2">
      <c r="O24" t="s">
        <v>307</v>
      </c>
    </row>
    <row r="25" spans="1:19" x14ac:dyDescent="0.2">
      <c r="O25" t="s">
        <v>313</v>
      </c>
    </row>
    <row r="26" spans="1:19" x14ac:dyDescent="0.2">
      <c r="O26" t="s">
        <v>314</v>
      </c>
    </row>
    <row r="27" spans="1:19" x14ac:dyDescent="0.2">
      <c r="O27" t="s">
        <v>321</v>
      </c>
    </row>
    <row r="28" spans="1:19" x14ac:dyDescent="0.2">
      <c r="O28" t="s">
        <v>320</v>
      </c>
    </row>
    <row r="29" spans="1:19" x14ac:dyDescent="0.2">
      <c r="O29" t="s">
        <v>322</v>
      </c>
    </row>
    <row r="30" spans="1:19" x14ac:dyDescent="0.2">
      <c r="O30" t="s">
        <v>323</v>
      </c>
    </row>
    <row r="31" spans="1:19" x14ac:dyDescent="0.2">
      <c r="O31" t="s">
        <v>335</v>
      </c>
    </row>
    <row r="32" spans="1:19" x14ac:dyDescent="0.2">
      <c r="O32" t="s">
        <v>337</v>
      </c>
    </row>
    <row r="35" spans="9:9" x14ac:dyDescent="0.2">
      <c r="I35" t="s">
        <v>457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309AE-F8AD-5B45-9095-5F18F0C1C9D6}">
  <dimension ref="A1:B3"/>
  <sheetViews>
    <sheetView workbookViewId="0">
      <selection activeCell="B2" sqref="B2"/>
    </sheetView>
  </sheetViews>
  <sheetFormatPr baseColWidth="10" defaultRowHeight="16" x14ac:dyDescent="0.2"/>
  <cols>
    <col min="1" max="1" width="21.33203125" customWidth="1"/>
    <col min="2" max="2" width="197.5" customWidth="1"/>
  </cols>
  <sheetData>
    <row r="1" spans="1:2" ht="409" customHeight="1" x14ac:dyDescent="0.2">
      <c r="A1" s="14" t="s">
        <v>343</v>
      </c>
      <c r="B1" s="15" t="s">
        <v>344</v>
      </c>
    </row>
    <row r="2" spans="1:2" ht="409.6" x14ac:dyDescent="0.2">
      <c r="A2" s="14" t="s">
        <v>345</v>
      </c>
      <c r="B2" s="15" t="s">
        <v>346</v>
      </c>
    </row>
    <row r="3" spans="1:2" ht="409.6" x14ac:dyDescent="0.2">
      <c r="A3" s="14" t="s">
        <v>347</v>
      </c>
      <c r="B3" s="15" t="s">
        <v>348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Video Analyses (Old Prompt)</vt:lpstr>
      <vt:lpstr>Testing 4 Vid Analyses</vt:lpstr>
      <vt:lpstr>Testing 6 Vid Analyses</vt:lpstr>
      <vt:lpstr>Video Evaluation (Old Prompt)</vt:lpstr>
      <vt:lpstr>Scoring System</vt:lpstr>
      <vt:lpstr>Issues to Note</vt:lpstr>
      <vt:lpstr>Prompt 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Tiffany Lui</cp:lastModifiedBy>
  <dcterms:created xsi:type="dcterms:W3CDTF">2026-01-22T23:45:37Z</dcterms:created>
  <dcterms:modified xsi:type="dcterms:W3CDTF">2026-01-28T17:26:03Z</dcterms:modified>
</cp:coreProperties>
</file>