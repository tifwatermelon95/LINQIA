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defaultThemeVersion="202300"/>
  <mc:AlternateContent xmlns:mc="http://schemas.openxmlformats.org/markup-compatibility/2006">
    <mc:Choice Requires="x15">
      <x15ac:absPath xmlns:x15ac="http://schemas.microsoft.com/office/spreadsheetml/2010/11/ac" url="/Users/tiftof95/Documents/LINQIA/"/>
    </mc:Choice>
  </mc:AlternateContent>
  <xr:revisionPtr revIDLastSave="0" documentId="13_ncr:9_{369956C5-A8CD-D342-9DA9-17739B746ACD}" xr6:coauthVersionLast="47" xr6:coauthVersionMax="47" xr10:uidLastSave="{00000000-0000-0000-0000-000000000000}"/>
  <bookViews>
    <workbookView xWindow="20760" yWindow="620" windowWidth="17640" windowHeight="19420" activeTab="1" xr2:uid="{675321E7-369E-BC4C-9DC4-8B965F5800DF}"/>
    <workbookView xWindow="0" yWindow="620" windowWidth="22340" windowHeight="20980" xr2:uid="{5B4943CD-FA3A-1541-BF74-C497757AFF86}"/>
  </bookViews>
  <sheets>
    <sheet name="All Videos Analyses" sheetId="1" r:id="rId1"/>
    <sheet name="Video Evaluation" sheetId="2" r:id="rId2"/>
    <sheet name="Scoring System"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2" l="1" a="1"/>
  <c r="L2" i="2" s="1"/>
  <c r="L3" i="2" a="1"/>
  <c r="L3" i="2" s="1"/>
  <c r="L4" i="2" a="1"/>
  <c r="L4" i="2" s="1"/>
  <c r="L5" i="2" a="1"/>
  <c r="L5" i="2" s="1"/>
  <c r="L6" i="2" a="1"/>
  <c r="L6" i="2" s="1"/>
  <c r="L8" i="2" a="1"/>
  <c r="L8" i="2" s="1"/>
  <c r="L9" i="2" a="1"/>
  <c r="L9" i="2" s="1"/>
  <c r="L10" i="2" a="1"/>
  <c r="L10" i="2" s="1"/>
  <c r="L11" i="2" a="1"/>
  <c r="L11" i="2" s="1"/>
  <c r="L12" i="2" a="1"/>
  <c r="L12" i="2" s="1"/>
  <c r="L13" i="2" a="1"/>
  <c r="L13" i="2" s="1"/>
  <c r="L14" i="2" a="1"/>
  <c r="L14" i="2" s="1"/>
  <c r="L15" i="2" a="1"/>
  <c r="L15" i="2" s="1"/>
  <c r="L16" i="2" a="1"/>
  <c r="L16" i="2" s="1"/>
  <c r="L17" i="2" a="1"/>
  <c r="L17" i="2" s="1"/>
  <c r="L18" i="2" a="1"/>
  <c r="L18" i="2" s="1"/>
  <c r="L19" i="2" a="1"/>
  <c r="L19" i="2" s="1"/>
  <c r="L20" i="2" a="1"/>
  <c r="L20" i="2" s="1"/>
  <c r="L21" i="2" a="1"/>
  <c r="L21" i="2" s="1"/>
  <c r="L22" i="2" a="1"/>
  <c r="L22" i="2" s="1"/>
  <c r="L23" i="2" a="1"/>
  <c r="L23" i="2" s="1"/>
  <c r="L24" i="2" a="1"/>
  <c r="L24"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<sst xmlns="http://schemas.openxmlformats.org/spreadsheetml/2006/main" count="368" uniqueCount="284">
  <si>
    <t>video_name</t>
  </si>
  <si>
    <t>video_url</t>
  </si>
  <si>
    <t>summary</t>
  </si>
  <si>
    <t>content_theme</t>
  </si>
  <si>
    <t>content_style</t>
  </si>
  <si>
    <t>creator_presence</t>
  </si>
  <si>
    <t>on_screen_text</t>
  </si>
  <si>
    <t>key_video_elements</t>
  </si>
  <si>
    <t>brand_safety</t>
  </si>
  <si>
    <t>brand_type</t>
  </si>
  <si>
    <t>brand_names</t>
  </si>
  <si>
    <t>transcript</t>
  </si>
  <si>
    <t>Auto Repair.mp4</t>
  </si>
  <si>
    <t>https://linqia-video-analyser-bucket.s3.us-east-2.amazonaws.com/Videos%20for%20Analysis/Auto%20Repair.mp4</t>
  </si>
  <si>
    <t>The video shows mechanics dismantling, repairing, and reassembling a heavily damaged car. They remove parts like the bumper, radiator, wheels, exhaust, and interior components. They also perform welding, grinding, sanding, and painting. Finally, they reassemble the car, including reinstalling the headlights, doors, interior panels, seats, and wheels, before the car is shown driving.</t>
  </si>
  <si>
    <t>Cars</t>
  </si>
  <si>
    <t>Tutorials</t>
  </si>
  <si>
    <t>Creator-centric</t>
  </si>
  <si>
    <t>Creator, Vehicles, Technology, Props</t>
  </si>
  <si>
    <t>Family-friendly</t>
  </si>
  <si>
    <t>Exclusive brand partnership</t>
  </si>
  <si>
    <t>Mercedes-Benz, AMG</t>
  </si>
  <si>
    <t>Beauty 2.mp4</t>
  </si>
  <si>
    <t>https://linqia-video-analyser-bucket.s3.us-east-2.amazonaws.com/Videos%20for%20Analysis/Beauty%202.mp4</t>
  </si>
  <si>
    <t>The video shows a makeup artist applying makeup to a woman's face. The process includes applying eyeshadow, eyeliner, foundation, blush, and lipstick. The makeup artist mentions using specific products and techniques, such as priming eyelids with concealer and setting with powder, and then applying different shades of eyeshadow. The artist also talks about using custom lashes and contouring the nose. The final look is described as glamorous, elegant, and flawless.</t>
  </si>
  <si>
    <t>['Beauty', 'Makeup Tutorials']</t>
  </si>
  <si>
    <t>['Tutorials', 'Vlogs']</t>
  </si>
  <si>
    <t>['Behind the camera', 'Face only']</t>
  </si>
  <si>
    <t>Creator, Technology, Beauty Products, Clothing/Fashion Items</t>
  </si>
  <si>
    <t>['Beauty brands', 'Multiple brands featured']</t>
  </si>
  <si>
    <t>Huda Beauty, MAC, IT Cosmetics, Shein</t>
  </si>
  <si>
    <t xml:space="preserve">Honestly, this is probably one of my favorite glam looks that I've done so far. Keep watching to see how I've done it. Also, guys, I'm offering one-on-one lessons, so reach out to me on Instagram if you're interested. First things first, always prepping the eyelids with some concealer, setting it down with powder. I'm just going in with a few transition shades. I'm focusing them on the outer corner of the eye and then just slightly dragging it through. I build them up first to the intensity that I like before I move on to the darker color. Now, I'm intensifying the eye makeup with some black shadow and a bit of liner, smoking it out and making sure it's all blended. I've also made custom lash using individual lashes from Shein. At this point, her eyes are still marked because I wasn't sure if I wanted to add shimmer. I do add shimmer in the end. Full foundation, I used Huda Labs and IT Cosmetics and blush, I used Morphe and the Made by Mitchell curve case. This is like my favorite part of the makeup because I feel like you can really see everything coming together now with the contour and the concealer and the blush placement. It's looking so flawless and smooth. I'm just bronzing her up now. I'm just reinforcing everything that I've done with cream, but with powder now. With the blush, I'll use like five different blushes. I'll use a matte blush, a shimmery blush, and I just find that you get the perfect finish like that. For her lower lash line, I'm just using the same colors that I used for her eyeshadow. For the shimmer, I used the Huda Labs highlighter and now for her lips, I used the Spiffy from Morphe and just a bit of gloss from Maybelline. Honestly, this is just one of my favorite glam looks. It's just so stunning, so elegant, still glam without being too crazy. I'm obsessed. 
</t>
  </si>
  <si>
    <t>Beauty.mp4</t>
  </si>
  <si>
    <t>https://linqia-video-analyser-bucket.s3.us-east-2.amazonaws.com/Videos%20for%20Analysis/Beauty.mp4</t>
  </si>
  <si>
    <t>The video shows a woman speaking and gesturing. She demonstrates applying something to her face by making a pinching motion near her cheek and then touching her lips. She also moves her hand in a pinching gesture and appears to be talking about not touching something.</t>
  </si>
  <si>
    <t>Beauty</t>
  </si>
  <si>
    <t>Tutorials, Vlogs</t>
  </si>
  <si>
    <t>Face only</t>
  </si>
  <si>
    <t>Creator, Clothing/Fashion Items</t>
  </si>
  <si>
    <t>No brands featured</t>
  </si>
  <si>
    <t>I'mma sit back with a blind. You put my hand in the cough. Can't touch.</t>
  </si>
  <si>
    <t>Budget Travel.mp4</t>
  </si>
  <si>
    <t>https://linqia-video-analyser-bucket.s3.us-east-2.amazonaws.com/Videos%20for%20Analysis/Budget%20Travel.mp4</t>
  </si>
  <si>
    <t>The creator explains how to turn $80 per week into a European vacation, demonstrating how to find affordable flights and hotels. They use an example of a trip to Paris in April for two passengers, showing the flight search process on an airline app and hotel booking on Hotels.com. The video also touches on transportation costs in Paris, suggesting public transport passes over Ubers and providing budget estimates for food.</t>
  </si>
  <si>
    <t>Travel, Budget Travel</t>
  </si>
  <si>
    <t>Creator-centric, Face only</t>
  </si>
  <si>
    <t>how I turned $80/week into a European vacation (multiple times!), $80 x 52 weeks = $4,160 a year, March-April, September-October, CMH, PAR, Columbus, OH, Paris Area Airports, France, Thu, Apr 16 - Thu, Apr 23, 2 Passengers, Shop With Miles, My Dates Are Flexible, Exclude Max, Refundable, Advanced Search, Best Fares For, Delta Main Basic, Find Flights, DL5650, DL264, 12h 15m, 6:00 PM, 12:15 PM, Thu, Apr 16, CMH, 1 Stop | JFK, CDG, Operated by Republic Airways Delta Connection, Delta Main, Round Trip From, Details, Seats, DL1522, DL82, 11h 46m, 12:29 PM, 6:15 AM, Delta Main, Round Trip From, $523, $713, Main Basic, All the Essentials, FREE, Cancel for partial eCredit, changes allowed for a fee, Board in Zone 8, limited overhead bin space¬≤, Ineligible to earn miles¬≥, Ineligible for upgrades, Seat(s) assigned after flight cannot change seat‚Åµ, View All Restrictions, Accept, Round Trip From, $523, Select, Main, Comfort, Premium Select, Delta One‚Å¥, Compare Our Cabin Experiences, Lowest Fare, $523, $749, Experience selection applies to your trip., View Terms and Conditions, Review and Pay, CHECK IN, CHECK OUT, After 3:00 PM, Before 12:00 PM, 16 Apr 2026, 23 Apr 2026, 7 nights, Room details, Dalila Cosy Double room, Prepaid Rate, US$1,030.52, US$927.47, Show details, Total saving, US$103.05, Total, US$927.47, (VAT and taxes included), Pay now, US$927.47, (VAT and taxes included), You will be charged in the hotel's currency. The final price might slightly vary due to the bank's conversion., hotels.com, Select Room, Apr 16 - Apr 23, 2026, 2, 1, Dalila Cosy Double room, From US$133 / night, instead of US$147 / night, hotels.com - Private, H√¥tel Dalila Paris, 51 Rue Letort, Paris, RESERVER, Flights, $2.00 USD, DL YR SURCHARGE, $310.00 USD, DL YQ SURCHARGE, $20.00 USD, DL YR SURCHARGE, $310.00 USD, TAXES, FEES AND CHARGES, $404.26 USD, TOTAL (2 PASSENGERS), $1,046.26 USD, Pay as low as $100.12/mo including fee with Plan It. Terms apply, CHANGEABLE, TICKETS ARE NONREFUNDABLE, CONTRACT OF CARRIAGE, CALCULATE BAGGAGE RATE, PAYMENT, MY WALLET, ADD A NEW CARD, PLAN IT* BY AMERICAN EXPRESS, Add Plan, Explore, Book, Trips, Account, Round Trip, One-Way, Multi-City, Reserve a ride, Electric, DL 8465, lands at 2:00 PM, Wed, Mar 18, $40.06, UberX, $40.06, DL 8465, lands at 2:00 PM, $101.47, Uber(s to and from airport): ~$120, Comfort, $52.90, Apple Pay, Reserve Electric, ‚Ç¨90.80* per month, *all zones, BUS, M, RER, Navigo, Available on mobile phone, Weekly Navigo travel passer, Do you wish to enjoy unlimited travel, week? The weekly Navigo..., ‚Ç¨32.40* per week, *all zones, BUS, M, RER, navigo.fr, H√îTEL, DALILA, PARIS, Plan, Prepare Your Visit, Hotel Dalila, Exceptional, 9.8, 17 reviews, We have 2 left at $444 off at, $118 nightly, $1,682, $1,138 total, Total with taxes and fees, H√¥tel Dalila, Paris, Wonderful, 9.0, 136 reviews, $119 off, $121 nightly, $1,289, $1,171 total, Total with taxes and fees, Hotel Bastille, Good, We have 6 left at $272 off at, $123 nightly, $1,461, $1,189 total, Total with taxes and fees, Source Hotel, Paris, Very Good, TOTAL PRICE, ‚Ç¨10-20, French restaurant, Open, Overview, Menu, Reviews, Photos, About, 2.4K, 4.5, Le Bistro des Augustins, Outdo, bistro des augustin, Laid-back place with sofas &amp; a patio, serving typical bistro fare like toasties &amp; salads, plus wine., Reviews, 4.5, (2.4K), 1, 2, 3, 4, 5, 224 available properties, Done, Paris, 5 stars (131), $2,985, 4 stars (750), $1,178, 3 stars (777), $698, See more, Neighborhood, Paris (1117), Paris (and vicinity) (1401), Paris City Center (138), See more, Guest rating, Any, Wonderful 9+ (571), $698, $1,178, Very good 8+ (1527), $698, Good 7+ (1874), $698, BISTRO, DES AUGUSTINS, CARTE DES VINS, Verre (14cl), T√™te √† t√™te (44cl), Bouteille (75cl), VINS ROUGES, Ch√¢teau Couhert, Pessac-L√©ognan 2017, Ch√¢teau de‚Ä† Malbec BIO, 8,00, 27,00, 40,00, Ch√¢teau d'Aix en Provence 2016, 35,00, Ciron, 35,00, Les Pressades 2013, 14,50, 27,00, 30,00, Bruilly, 16,00, Domaine C≈ìur des Garigues 2018, 22,00, Clos de L'Oratoire, 14,00, 22,00, Ch√¢teau des Tourtes 2017, 15,00, 19,00, C√¥tes de Rhone, 14,00, Perriga 2018, 15,00, Madiras, 15,00, Fruit Noir 2017, 18,00, Ard√®che IGP 2018, 18,00, VINS BLANCS, Domaine Bois, Pierre Moir√© 2018, Ch√¢teau de‚Ä†‚Ä† Lormes BIO, 14,00, 38,00, Ch√¢teau d'Aix en Provence 2016, 13,00, 35,00, Montagne Alligre, Le Ch√¢teau AOC Languedoc 2019, 14,00, 27,00, Chardonnay, G. Duboeuf Pays d'Oc IGP 2019, 14,00, 22,00, VINS ROSE, Ch√¢teau La Coste BIO, Ch√¢teau d'Aix en Provence 2016, C√¥tes de Provence, Honn√™te Saint-Pons 2019, 16,00, 35,00, 25,00, VINS EN PICHET, Uniquement pendant les repas / Only during the meal, Rouge Vin Pays d'Oc, Blanc Vin Pays d'Oc, 5,00, 10,00, Blanc Vin Pays d'Oc, 10,00, CHAMPAGNE, La coupe (14cl), La bouteille (75cl), Beaufort, 60,00, Basseau de Bellboy, 4 of 4, Fromages - Cheese, Cantar cantal cheese (Auvergne), Roquefort (30 mois ou plus de 30me), Roquefort (Blue cheese (Aveyron), Ch√®vre frais - Goat Cheese, Les plateaux de fromages - Assortment of cheeses, 6,00, 6,50, 8,50, 15,00, Desserts, Tarte du jour - Pie of the day, Panna cotta au chocolat, cr√®me fouett√©e, Chocolat fondant, coulis cr√®me, 6,00, 9,00, 9,00, Nous n'acceptons pas les ch√®ques. - Prix TTC en ‚Ç¨ - Taxes et service compris - CB minimum 15‚Ç¨, leftover: $500!, breakfast:, $20 per day, or $140 per week, leftover: $1,056.27, breakfast:, $40ish per day, or $300 per week, leftover: $1,986.27, HIGHLIGHS, leftover: $1,496.27, leftover: $500!</t>
  </si>
  <si>
    <t>Creator, Text/Graphics, Technology, Food</t>
  </si>
  <si>
    <t>Multiple brands featured</t>
  </si>
  <si>
    <t>Delta, Hotels.com, Apple Pay, American Express</t>
  </si>
  <si>
    <t>Some of you do not believe me that $80 a week will get you a European vacation. But that's not true because I've done it multiple times. So let me show you how I do it. Firstly, let's just crunch the big numbers. $80 a week for 52 weeks will get you $4,160 a year. Now the question I always get is, is that enough for your European vacation? People seem to think everybody's spending 10, 20, 30,000 to go to Europe. But that's not true. I've gone to Europe multiple times and have never spent more than $4,000. And I'm not staying at hostels, room sharing, or flying a flight with 17 layovers. It's easier than you think if you know where to look. The first thing you need to know about booking a flight to Europe is that Europe is like Disney. If you want to go in the dead of summer or you want to go over Christmas, it's going to be expensive. We have saved thousands of dollars by traveling on the off-season, but that doesn't mean that we're traveling in the dead of winter. We found the best windows to travel are March through April or September through October. Those are months that are still beautiful and great weather for walking around cities, but you're not paying the hefty fees associated with going in June or July. Next, you have to know how to find the best deals on flights and hotels. So let me show you using an example trip, two people had to do Paris this April. The first thing you need to do is look at flights. I'm just using Delta because it's what I fly all the time. I'm sure if you shop around, you can find maybe even better deals, but sometimes they come with weird layovers like Canadian air, which usually does like two different layovers. And I don't mess with that. So let me show you what filters I put in. First, I just put some example dates, a Thursday to Thursday, so it's a week-long trip. And we're doing Columbus to Paris. Any of the airports doesn't really matter. The important part is we select "My dates are flexible" because we're just planning, we don't know what dates we want to go yet. We'll base the specific dates of our vacation on what flights are the cheapest. So, you can see I put in Thursday, April 16th through Thursday, April 23rd, which is a week. But it's actually cheaper to depart a day earlier by about $200. That's fine with me. So I'm going to select that. It looks like the cheapest flight leaves from Columbus at 6:00 PM and has you arriving around lunchtime the next day in Paris at 12:15 PM. The price that you see is including the taxes, but it is for main basic. So if you want to upgrade, you can, but I think main basic is fine. It's kind of like the southwest for international flights. But if you did want to splurge and go for the $749 for the main class, you would need to save about an extra $90 a week to cover that difference for two people. But again, main basic is totally fine. I just love Delta's loyalty program, so I probably would upgrade, but that's just me. So for flights, round trip, you're paying $1,046.26. That's pretty great for an international flight. Next, we're going to go to hotels.com on a private browser, but we're not booking at hotels.com. We just need to get info and then book directly on the hotel's website. So the first thing you do is type in your location and dates. We need seven nights in Paris. We want to be in Paris, not Paris and vicinity or the suburbs. Because sometimes that just gets you too far into the suburbs. And then these are the specific filters that I always select. I select four stars and three stars for the hotel quality. I typically don't stay at anything lower than a three-star, just because I like some of the amenities and I like a hotel to look a little nice and feel safe. But I'm fine with not staying at a five-star hotel. To me, four and three stars are the sweet spot. And the other thing I select is a guest rating of "very good" or above. These are your reviews from Hotels.com. People telling you whether it's a good place to stay or not. I typically don't stay at anything lower than a 7 or a 6, just because I like to save myself time and weed out some places that wouldn't be a good fit for me. So, four and three stars are the sweet spot. And I like a guest rating of "very good" or above. So the "very good 8+" is probably what I would pick. And the reason is because you can get a hotel in Paris for about $118 nightly, which is $1,138 total. Or you can get a hotel for $121 nightly, which is $1,171 total. So they're not bad, but they're not that cheap. So I'm going to go to Hotel Dalila, and go to their website directly. This is such a cute hotel. I just used this as an example, but I'm about to bookmark this for my next trip. I went ahead and put in all of our dates and just selected the lowest room because they don't need anything crazy. So, by booking directly on the site, we're saving almost $300 that total leftover, $2,186.27. Next, let's talk transportation. The one time I really think you should splurge on an Uber is either coming from the airport to the hotel or back from the hotel to the airport. Ubers (to and from airport): ~$120. You're tired, you just got off the plane. It's worth the splurge. For the rest of your trip, if you're in Europe, please take advantage of their fantastic public transit. Including Paris's metro, buses, trains, and trams. The weekly Navigo pass is $32.40 per week, $80 for two for a week of public transport pass, giving you about $40 each for a week of unlimited travel. All their metros, buses, trains, and trams in the larger Paris area. That's truly all you need. And most cities that you're going to visit in Europe are going to be similar. So let's budget about $40 per person for a week of transport, not including those Uber rides. So that's about $80 for two people for a week. And then lunch would usually be at a sit-down cafe. There's so many cute ones in Paris and honestly all over Europe. And I'll show you an example of what one of their menus looks like. Le Bistro des Augustins is about $10 to $20 per person for food, and maybe $15 for a glass of wine if you want. Give or take about $15 per person for food, and maybe $15 for a glass of wine if you want. In total, you're looking at about $300 for your week's worth of lunches. But that doesn't mean this is the cheapest. I'm here to spend on some good food, especially if I'm in a different country. So my budget reflects that. But that doesn't mean this is the cheapest way. You can do breakfast for about $10 per day, or $140 per week, so $20 for the both of us each day for seven days. That's about $140. Then lunch you could do one "nice" dinner: $200 plus $50 times six on casual dinners = $500. That leaves you with $500 leftover! So you could spend $150 a day on dinner or $1,050 for the week. That leaves you with $500 leftover! So you could spend $150 a day on dinner or $1,050 for the week. You could spend $500 on some nice dinners, or if you're like me, you could spend about $80 a day on vintage and thrift stores. So, the point of this video is not to tell you that you have to do our exact travel plans, but it is to show you that it's easier than you think to travel on a budget when you do some digging and get a little creative. I talked about this in my last video, but I'm actually headed to Mexico City for about $3,000 total for a week. I am so, so excited. So if you have any Rex, please let me know and let me know if you want to see more travel content.</t>
  </si>
  <si>
    <t>Catching Food.mp4</t>
  </si>
  <si>
    <t>https://linqia-video-analyser-bucket.s3.us-east-2.amazonaws.com/Videos%20for%20Analysis/Catching%20Food.mp4</t>
  </si>
  <si>
    <t>The video shows a person spearfishing in the ocean. They provide tips on hiding behind rocks and coral to catch fish. The person encounters a school of fish but cannot catch them. They then spot and attempt to catch a hogfish, but it swims away. The person notes that the hogfish is delicious and has a minimum size requirement for catching.</t>
  </si>
  <si>
    <t>['Recipes', 'Travel', 'Lifestyle']</t>
  </si>
  <si>
    <t>['Vlogs', 'Tutorials', 'Storytelling']</t>
  </si>
  <si>
    <t>['Creator-centric', 'Full body', 'Face only']</t>
  </si>
  <si>
    <t>Location: South Florida, Catching My Food</t>
  </si>
  <si>
    <t>Creator, Food, Technology, Nature, Clothing/Fashion Items</t>
  </si>
  <si>
    <t>Family-friendly, Mild language</t>
  </si>
  <si>
    <t>['No brands featured']</t>
  </si>
  <si>
    <t>Catching my food. Whenever you're hunting, you want to make sure that you're hiding behind any rock or coral so that the fish that you want to eat doesn't see you. I locked onto a large parrot fish, and while these guys do look big and tasty, you're not allowed to spear them because they're protected here in Florida. As I was following it, I ran out of air, so I decided to swim to the top. And from the top of the water, I saw a massive school of fish. Sometimes there's something tasty hiding in the school, so I went down to take a closer look, but when I didn't find anything, I waved them off and continued my search for what could be my breakfast. I stumbled across the most delicious fish in the sea, which is a hogfish. And when I took aim, I needed to make sure that I hit it good because these guys are destroying South Florida. That one fish wasn't going to be enough to feed me though, so I had to be extra stealthy. As I went across the bottom of the sea floor, looking for what else I can eat. I swam up to this hogfish that thought it was completely camouflaged, and when it realized that I saw it, it turned its camouflage off and slowly started swimming away from me. Well, this fish is delicious. It has to be a minimum of 16 inches. And this guy is just a little too small.</t>
  </si>
  <si>
    <t>Coding Tutorials.mp4</t>
  </si>
  <si>
    <t>https://linqia-video-analyser-bucket.s3.us-east-2.amazonaws.com/Videos%20for%20Analysis/Coding%20Tutorials.mp4</t>
  </si>
  <si>
    <t>The video is a tutorial on how to code your first desktop application. It shows examples of cute desktop apps like an egg timer and tic-tac-toe. The creator mentions a full step-by-step tutorial is available on their YouTube channel and offers template code on GitHub. The tutorial covers setup, coding, and styling.</t>
  </si>
  <si>
    <t>Technology, Coding Tutorials, DIY/Crafts</t>
  </si>
  <si>
    <t>Tutorials, How-To Guides, Vlogs</t>
  </si>
  <si>
    <t>Creator-centric, Face only, Full body</t>
  </si>
  <si>
    <t>Easy cute little desktop app tutorial, desktop applications, Egg Timer &lt;3, What are you making today?, Soft Boiled, This is how to make, your very first desktop application, RASHIA'S CALENDAR, 2, JANUARY, super beginner friendly, youtube: nashallery, preview., How to code yr first little desktop app from scratch (beginner friendly &amp; cozy aesthetic :3), from how to set up, Everything that you'll need, n-app-template, to coding and styling, your very first desktop app, github: nasha-wanich, Or if you just want to, grab a template code, Electron App Template, IMPORTANT: Click &amp; open README.md for full instructions, A simple ElectronJS starter template for building desktop apps., This repo is part of my YouTube tutorial on setting up your first, simple, beginner-friendly, and easy to customize for any, Tutorial Video, This repo is a part of my Youtube video tutorial on how to build, they are also on my Github., See Youtube video:, Design File, Figma design file for this project:, What's in this repo, happy coding!, bye &lt;3</t>
  </si>
  <si>
    <t>Creator, Technology, Text/Graphics, Screen Recordings, Clothing/Fashion Items</t>
  </si>
  <si>
    <t>desktop applications. like these? This is how to make your very first desktop application. your very first desktop application, super beginner friendly. youtube: nashallery. I have a full step-by-step tutorial on my YouTube from how to set up everything that you'll need to coding and styling your very first desktop app. github: nasha-wanich. Or if you just want to grab a template code. They are also on my GitHub. happy coding! bye &lt;3</t>
  </si>
  <si>
    <t>DIY Craft.mp4</t>
  </si>
  <si>
    <t>https://linqia-video-analyser-bucket.s3.us-east-2.amazonaws.com/Videos%20for%20Analysis/DIY%20Craft.mp4</t>
  </si>
  <si>
    <t>The video shows a person cutting and folding cardboard tubes to create a snowflake-like decoration. They then use a gold marker to add details to the decoration and attach a red ribbon to hang it. The final decoration is shown hanging in front of a laptop screen displaying a fireplace.</t>
  </si>
  <si>
    <t>DIY/Crafts</t>
  </si>
  <si>
    <t>Tutorials, Montages</t>
  </si>
  <si>
    <t>Hands-only</t>
  </si>
  <si>
    <t>TikTok, @m4yxs</t>
  </si>
  <si>
    <t>Creator, Text/Graphics, Props, DIY Projects</t>
  </si>
  <si>
    <t>I'm gonna make this for you.
But if you kissed me now.
I know you'd fool me again.</t>
  </si>
  <si>
    <t>Education.mp4</t>
  </si>
  <si>
    <t>https://linqia-video-analyser-bucket.s3.us-east-2.amazonaws.com/Videos%20for%20Analysis/Education.mp4</t>
  </si>
  <si>
    <t>Education</t>
  </si>
  <si>
    <t>Montages</t>
  </si>
  <si>
    <t>Creator-centric, Face only, Partial visibility</t>
  </si>
  <si>
    <t>Titles/Headlines</t>
  </si>
  <si>
    <t>Creator, Text/Graphics, Books, Technology</t>
  </si>
  <si>
    <t>Esport.mp4</t>
  </si>
  <si>
    <t>https://linqia-video-analyser-bucket.s3.us-east-2.amazonaws.com/Videos%20for%20Analysis/Esport.mp4</t>
  </si>
  <si>
    <t>The video shows a group of people in esports attire. One person is seen signing a large board with game titles and names. Later, the group poses for photos with a trophy, and one individual examines a smaller golden award. The speaker questions what they would do if they didn't win, and concludes with "I guess we'll never know."</t>
  </si>
  <si>
    <t>Gaming</t>
  </si>
  <si>
    <t>Vlogs, Behind-the-Scenes</t>
  </si>
  <si>
    <t>Creator-centric, Full body, Group content</t>
  </si>
  <si>
    <t>POV, Titles/Headlines, Watermarks</t>
  </si>
  <si>
    <t>Creator, Technology, Clothing/Fashion Items, Text/Graphics, Props</t>
  </si>
  <si>
    <t>Everybody want to know what I would do if I didn't win. I guess we'll never know.</t>
  </si>
  <si>
    <t>Fitness.mp4</t>
  </si>
  <si>
    <t>https://linqia-video-analyser-bucket.s3.us-east-2.amazonaws.com/Videos%20for%20Analysis/Fitness.mp4</t>
  </si>
  <si>
    <t>A woman wearing headphones and athletic clothing is performing a weightlifting exercise. She is in a gym setting with a loaded barbell on the floor. The video shows her approaching the barbell, lifting it to a squat position, and then standing up with the barbell overhead. She then lowers the barbell back to the floor.</t>
  </si>
  <si>
    <t>Fitness, Sports</t>
  </si>
  <si>
    <t>Workout Routines, How-To Guides</t>
  </si>
  <si>
    <t>Creator-centric, Full body, Face only</t>
  </si>
  <si>
    <t>Creator, Technology, Clothing/Fashion Items, Fitness Equipment</t>
  </si>
  <si>
    <t>No spoken audio.</t>
  </si>
  <si>
    <t>Food.mp4</t>
  </si>
  <si>
    <t>https://linqia-video-analyser-bucket.s3.us-east-2.amazonaws.com/Videos%20for%20Analysis/Food.mp4</t>
  </si>
  <si>
    <t>A man is shown in a car with a large amount of food, including chicken wings, fries, and corn. He is seen dipping chicken wings into a white sauce and eating them. He also dips fries into a yellow cheese sauce and eats them. He then dips a chicken wing into the white sauce again and eats it. The video also shows him eating a piece of corn and then another chicken wing dipped in white sauce. Finally, he rates his meal an 8.8 out of 10.</t>
  </si>
  <si>
    <t>['Recipes', 'Food Reviews', 'Lifestyle']</t>
  </si>
  <si>
    <t>['Vlogs', 'Taste Tests', 'Mukbang']</t>
  </si>
  <si>
    <t>['Face only', 'Creator-centric']</t>
  </si>
  <si>
    <t>Titles/Headlines, Quotes</t>
  </si>
  <si>
    <t>Creator, Food, Props, Text/Graphics</t>
  </si>
  <si>
    <t>['Food and beverage brands']</t>
  </si>
  <si>
    <t>Wingstop</t>
  </si>
  <si>
    <t>Eat Wingstop for the whole day! This might cause some other things to stop. Let's eat. Food hack time. Rate 8.8 out of 10.</t>
  </si>
  <si>
    <t>Gadget Review.mp4</t>
  </si>
  <si>
    <t>https://linqia-video-analyser-bucket.s3.us-east-2.amazonaws.com/Videos%20for%20Analysis/Gadget%20Review.mp4</t>
  </si>
  <si>
    <t>The video is a review of the Xiaomi 17 Promax phone. The creator demonstrates the zoom capabilities of the rear camera, noting that the zoom ability is good and the image quality is HD. They highlight the back screen as a favorite feature, which can display a clock or a cat image. The creator also shows how the phone can be used for mirror selfies with the rear camera. They compare the video quality to the iPhone 12 Pro Max, noting differences in color contrast. The creator concludes that the phone's back camera quality and color are good and that the zoom is smooth and stable, making it a suitable device for content creation. The creator expresses satisfaction with the purchase and states it was the best decision made.</t>
  </si>
  <si>
    <t>Technology, Gadget Reviews</t>
  </si>
  <si>
    <t>Reviews, Vlogs, How-To Guides</t>
  </si>
  <si>
    <t>My Review On Xiaomi 17 Promax, Move farther away, 1.1x, zoom ability is good for me!!, 2.5x, 4.7x, 6.5x, cuteee?!?!? ü•∫ü•∫, cuteee?!?!? ü•∫ü•∫, This is the back screen, This is also mirror screen for you to selfie using back camera, cam Xiaomi 17 promax:, cam Iphone 12 pro max:, kalian bisa liat sendiri perbedaan warnanya:, HD &amp; jernih tapi ga fokus ke pori-pori / makeup cakey!, zoom lebih smooth &amp; stabil, ini quality and warna back camera! üì∏, best decision I made!! ‚ú®üíñ</t>
  </si>
  <si>
    <t>Creator, Technology, Product, Text/Graphics</t>
  </si>
  <si>
    <t>Tech brands</t>
  </si>
  <si>
    <t>Xiaomi, iPhone</t>
  </si>
  <si>
    <t>My personal experience pakai Xiaomi 17 Promax. Ini test zoom camera belakang. I think it's pretty good and pretty HD. Tapi my favorite feature pastinya screen belakang ini. Ini tuh lucu banget, tapi pastinya tetap berguna because ini juga bisa mirror screen buat kalian yang mau selfie pakai camera belakang. Overall the phone is really fast and udah nggak nge-hang lagi kayak Android jaman dulu. Aku shoot video ini pakai iPhone 12 Pro Max. Kalian bisa liat sendiri perbedaan warnanya. Lumayan keliatan beda color contrastnya antara iPhone dan Xiaomi. Tapi aku masih suka quality video-nya yang terang dan jernih. Zoom lebih smooth &amp; stabil. As a girl yang suka content creating, HP ini bener-bener cocok banget untuk aku. And so far aku nggak nyesel sama sekali changing from Apple to Xiaomi.</t>
  </si>
  <si>
    <t>Hair Tutorial.mp4</t>
  </si>
  <si>
    <t>https://linqia-video-analyser-bucket.s3.us-east-2.amazonaws.com/Videos%20for%20Analysis/Hair%20Tutorial.mp4</t>
  </si>
  <si>
    <t>A woman is shown demonstrating how she curls her hair using a curling iron and hairspray. She begins by spraying her hair, then sections it and curls it with the iron, repeating the process on different sections. The video concludes with her showing off her styled hair.</t>
  </si>
  <si>
    <t>['Beauty', 'Hair Styling']</t>
  </si>
  <si>
    <t>['Tutorials', 'How-To Guides']</t>
  </si>
  <si>
    <t>['Face only', 'Full body']</t>
  </si>
  <si>
    <t>Creator, Technology, Clothing/Fashion Items</t>
  </si>
  <si>
    <t>['Beauty brands']</t>
  </si>
  <si>
    <t>IGK</t>
  </si>
  <si>
    <t>how I curl my hair
Big black boots
Long brown hair
She's so sweet with her
Yeah back then
But you with another man
I know where I'm at
And God
Must have sent you here
To hang with me
I said, are you gonna be my girl?</t>
  </si>
  <si>
    <t>High Fashion.mp4</t>
  </si>
  <si>
    <t>https://linqia-video-analyser-bucket.s3.us-east-2.amazonaws.com/Videos%20for%20Analysis/High%20Fashion.mp4</t>
  </si>
  <si>
    <t>A model walks a runway in a blue, scaled, avant-garde outfit with wing-like shoulder pieces. The video focuses on the outfit and the model's presentation. The background is dark with some blurry figures visible, and lighting is primarily blue.</t>
  </si>
  <si>
    <t>Fashion</t>
  </si>
  <si>
    <t>Creator, Clothing/Fashion Items, Music/Sound</t>
  </si>
  <si>
    <t>The music is playing.</t>
  </si>
  <si>
    <t>Instrument Tutorials.mp4</t>
  </si>
  <si>
    <t>https://linqia-video-analyser-bucket.s3.us-east-2.amazonaws.com/Videos%20for%20Analysis/Instrument%20Tutorials.mp4</t>
  </si>
  <si>
    <t>The video shows hands playing a piano, with on-screen text indicating instructions for playing the song "Champagne Coast" by Blood Orange. The video displays notes and chords being played on the piano keyboard.</t>
  </si>
  <si>
    <t>['Music']</t>
  </si>
  <si>
    <t>['Hands-only']</t>
  </si>
  <si>
    <t>Titles/Headlines, Tutorial Steps, Product Names</t>
  </si>
  <si>
    <t>Creator, Text/Graphics, Music/Sound, Musical Instruments, Props</t>
  </si>
  <si>
    <t>None</t>
  </si>
  <si>
    <t>How to play champagne coast by blood orange
Practice and slowly pick in the tempo
Should sound like this</t>
  </si>
  <si>
    <t>Jelly Bed.mp4</t>
  </si>
  <si>
    <t>https://linqia-video-analyser-bucket.s3.us-east-2.amazonaws.com/Videos%20for%20Analysis/Jelly%20Bed.mp4</t>
  </si>
  <si>
    <t>A shirtless person in shorts lays back into a bed filled with a turquoise liquid. The person moves their hands and floats on their back with their mouth open as if in disbelief or enjoyment.</t>
  </si>
  <si>
    <t>No category</t>
  </si>
  <si>
    <t>Creator, Home Decor</t>
  </si>
  <si>
    <t>Wow. No way. This is exactly what I needed.</t>
  </si>
  <si>
    <t>Language Learning.mp4</t>
  </si>
  <si>
    <t>https://linqia-video-analyser-bucket.s3.us-east-2.amazonaws.com/Videos%20for%20Analysis/Language%20Learning.mp4</t>
  </si>
  <si>
    <t>The creator states they are bored and want to learn numbers 1 through 10 in different languages. They attempt to say numbers in French, Russian, and German, while also showing a list of languages on a piece of paper and a screen with French numbers. The video ends with the creator saying they need more practice to learn one of the languages.</t>
  </si>
  <si>
    <t>Education, Language Learning</t>
  </si>
  <si>
    <t>Vlogs, Tutorials</t>
  </si>
  <si>
    <t>www.jeFrench.com, French Numbers 1 - 10, this is russian btw, 1. french, 2. russian, 3. japanese, 4. german, 5. italian</t>
  </si>
  <si>
    <t>Hi guys, I'm very bored and have nothing to do in my life right now. So what's more fun than to watch me learn 1 through 10 in five different languages? My five languages. French, Russian, Japanese, German, and Italian. Let's start with French. Un, deux, trois, quatre, cinq, six, sept, huit, neuf, dix. I'm going to learn. I'm going to learn the only three. Um, deux, trois, quatre, cinq, six, sept, huit, neuf, dix. My pronunciation might be very off, but let's try Japanese. I'm going to try my best, please don't judge. Ichi, ni, san, shi, go, roku, nana, hachi, ku, ju. My pronunciation might be very off. Let's try German now. Einz, drei, vier, f√ºnf, sechs, sieben, acht, neun, zehn. That concludes my video. Thank you guys so much for watching. If you guys watched till the end of this, I feel a lot of practice to do. But I would like to choose one of these languages and actually learn it, but yeah. Bye bye.</t>
  </si>
  <si>
    <t>Luxury Travel.mp4</t>
  </si>
  <si>
    <t>https://linqia-video-analyser-bucket.s3.us-east-2.amazonaws.com/Videos%20for%20Analysis/Luxury%20Travel.mp4</t>
  </si>
  <si>
    <t>A flight attendant in a uniform opens a door to reveal a private cabin on an airplane. The cabin features a plush seat, windows, a tray table with a laptop, and a vanity with a lighted mirror. The camera pans across the cabin, showing magazines on a shelf and headphones on a desk.</t>
  </si>
  <si>
    <t>Travel</t>
  </si>
  <si>
    <t>Vlogs, Day-in-the-Life, Tutorials</t>
  </si>
  <si>
    <t>Closed Captioning, Subtitles, Screen Overlays, Titles/Headlines</t>
  </si>
  <si>
    <t>Creator, Technology, Clothing/Fashion Items, Home Decor, Props, Text/Graphics</t>
  </si>
  <si>
    <t>Travel/hospitality brands</t>
  </si>
  <si>
    <t>Emirates</t>
  </si>
  <si>
    <t>You look lonely. I can fix that.</t>
  </si>
  <si>
    <t>Music Production.mp4</t>
  </si>
  <si>
    <t>https://linqia-video-analyser-bucket.s3.us-east-2.amazonaws.com/Videos%20for%20Analysis/Music%20Production.mp4</t>
  </si>
  <si>
    <t>A woman is shown in a dimly lit room with musical equipment, including a keyboard and computer. She is speaking directly to the camera and demonstrating how to create a music beat. The video shows her interacting with music production software, laying down drum patterns, and adding a bassline and melody. She encourages viewers to create their own beats and share them.</t>
  </si>
  <si>
    <t>['Creator-centric', 'Face only', 'Voice-only']</t>
  </si>
  <si>
    <t>POV, Titles/Headlines, Usernames/Handles, Watermarks</t>
  </si>
  <si>
    <t>Creator, Technology, Musical Instruments, Text/Graphics, Music/Sound</t>
  </si>
  <si>
    <t>Making your first beat can be intimidating, but it's easier than you think. Today I'm breaking it down into three simple steps anyone can follow. Step one, start from the drums. Pick a basic drum kit, go for a kick, and a hi-hat. Lay down a basic kick and snare pattern. Start with the kick on beat one and the snare on beat three. If you want to add a bounce, add some extra kicks and add the hi-hats on every beat. Nothing fancy, but it does have a groove. The bassline is what makes your beat feel powerful. Start with a synth bass. I like the wonk bass preset on Ableton. Keep your bassline simple, it's your first beat. I'll use the notes A, F, C and G. Now add a melody. Pick an instrument like piano or a synth. I'll just pick piano. And here's a trick: try to stick to only three or four notes. Go make your first beat, post it and tag me, I want to hear what you create.</t>
  </si>
  <si>
    <t>Restaurant Visit 2.mp4</t>
  </si>
  <si>
    <t>https://linqia-video-analyser-bucket.s3.us-east-2.amazonaws.com/Videos%20for%20Analysis/Restaurant%20Visit%202.mp4</t>
  </si>
  <si>
    <t>The video shows a restaurant setting with tables set and people dining. Outside the window, a bridge and cityscape are visible, along with greenery and string lights. The overall ambiance appears to be calm and inviting.</t>
  </si>
  <si>
    <t>Travel, Lifestyle</t>
  </si>
  <si>
    <t>Vlogs, Montages</t>
  </si>
  <si>
    <t>Group content, Partial visibility</t>
  </si>
  <si>
    <t>the vibe at this restaurant in brooklyn, @llavieboheme</t>
  </si>
  <si>
    <t>Creator, Food, Home Decor, Text/Graphics, Nature, Urban Environment</t>
  </si>
  <si>
    <t>the vibe at this restaurant in brooklyn
something that I need to let me in
to you</t>
  </si>
  <si>
    <t>Restaurant Visit.mp4</t>
  </si>
  <si>
    <t>https://linqia-video-analyser-bucket.s3.us-east-2.amazonaws.com/Videos%20for%20Analysis/Restaurant%20Visit.mp4</t>
  </si>
  <si>
    <t>The video showcases a variety of dishes served at a restaurant, including a Banijr Cheese Burger with fries, a Premium Meat Platter, Angus Short Ribs with mash, Truffle Mushroom Pasta with Ribeye Steak, and Oyster Blade Steak with fried rice. It also features several drinks. The text overlay states that this is a Muslim-owned HALAL steakhouse.</t>
  </si>
  <si>
    <t>Recipes, Food Reviews, Restaurant Tours</t>
  </si>
  <si>
    <t>Montages, How-To Guides</t>
  </si>
  <si>
    <t>Hands-only, Partial visibility</t>
  </si>
  <si>
    <t>This Muslim-owned HALAL steakhouse is a MUST try, Chiko Pollo Original, Banijr Cheese Burger, Premium Meat Platter, Angus Short Ribs with Mash, Truffle Mushroom Pasta with Ribeye Steak, Oyster Blade Steak with Fried Rice, heyyitskey</t>
  </si>
  <si>
    <t>Food, Text/Graphics, Props</t>
  </si>
  <si>
    <t>Streetwear.mp4</t>
  </si>
  <si>
    <t>https://linqia-video-analyser-bucket.s3.us-east-2.amazonaws.com/Videos%20for%20Analysis/Streetwear.mp4</t>
  </si>
  <si>
    <t>Four individuals are shown in a hallway-like setting. The person in the foreground, facing the camera, holds their fists up, displaying rings and a watch. Two individuals are positioned behind them, and one person stands slightly to the side. The video transitions to show all four individuals together, posing and interacting.</t>
  </si>
  <si>
    <t>Montages, Transitions</t>
  </si>
  <si>
    <t>Creator-centric, Full body</t>
  </si>
  <si>
    <t>POV: the whole group can dress</t>
  </si>
  <si>
    <t>POV: the whole group can dress
We're all so different but I think we can all dress
Like my peers, my influence were for life
All of my years let us skip to the</t>
  </si>
  <si>
    <t>Yoga:Pilates.mp4</t>
  </si>
  <si>
    <t>https://linqia-video-analyser-bucket.s3.us-east-2.amazonaws.com/Videos%20for%20Analysis/Yoga:Pilates.mp4</t>
  </si>
  <si>
    <t>Two individuals are shown performing different poses on yoga mats in a studio. The video displays text overlays indicating "Sun Salutation", "Pilates vs Yoga", and a logo with the text "SOULIFT HAUS OF WELLNESS".</t>
  </si>
  <si>
    <t>Fitness, Yoga, Pilates</t>
  </si>
  <si>
    <t>Sun Salutation, Pilates, vs, Yoga, SOULIFT, HAUS OF WELLNESS</t>
  </si>
  <si>
    <t>Creator, Text/Graphics, Music/Sound, Props, Fitness Equipment</t>
  </si>
  <si>
    <t>Video Name</t>
  </si>
  <si>
    <t>Score</t>
  </si>
  <si>
    <t>Rating</t>
  </si>
  <si>
    <t>Criteria</t>
  </si>
  <si>
    <t>Excellent</t>
  </si>
  <si>
    <t>100% accurate, nothing missing, no hallucinations</t>
  </si>
  <si>
    <t>Good</t>
  </si>
  <si>
    <t>90%+ accurate, minor omissions or very minor errors</t>
  </si>
  <si>
    <t>Fair</t>
  </si>
  <si>
    <t>70-89% accurate, some errors or missing key elements</t>
  </si>
  <si>
    <t>Poor</t>
  </si>
  <si>
    <t>50-69% accurate, major errors or significant omissions</t>
  </si>
  <si>
    <t>Failed</t>
  </si>
  <si>
    <t>&lt;50% accurate, hallucinations, or completely wrong</t>
  </si>
  <si>
    <t>Summary</t>
  </si>
  <si>
    <t>Content Theme</t>
  </si>
  <si>
    <t>Content Style</t>
  </si>
  <si>
    <t>Creator Presence</t>
  </si>
  <si>
    <t>On-Screen Text/Graphics</t>
  </si>
  <si>
    <t xml:space="preserve">Key Video Elements </t>
  </si>
  <si>
    <t>Brand Safety</t>
  </si>
  <si>
    <t>CRITERIAS</t>
  </si>
  <si>
    <t>SCORE: 4</t>
  </si>
  <si>
    <t>SCORE: 0</t>
  </si>
  <si>
    <t>RUBRIC</t>
  </si>
  <si>
    <t>Does it accurately describe what happens in the video?
Are all major visual and audio elements mentioned?
Does it avoid assumptions or inferences?</t>
  </si>
  <si>
    <t>Do the selected themes match the video content?
 Are important themes missing?
 Are inappropriate themes included?</t>
  </si>
  <si>
    <t>Does the style match how the video was produced?
Multiple styles can be correct (e.g., "Tutorial, POV")</t>
  </si>
  <si>
    <t>How much of the creator is visible?
Is the description accurate?</t>
  </si>
  <si>
    <t>Watch carefully for any text that appears
Check overlays, captions, graphics, logos, etc.</t>
  </si>
  <si>
    <t>Are the main subjects/objects correctly identified?
Nothing important missing?</t>
  </si>
  <si>
    <t>Is the content family-friendly or does it have issues?
Are warnings accurate?</t>
  </si>
  <si>
    <t>ATTRIBUTES</t>
  </si>
  <si>
    <t>All key actions/events described accurately
No made-up details
Captures the essence of the video</t>
  </si>
  <si>
    <t>Describes things not in the video
Misses the main point entirely
Major factual errors</t>
  </si>
  <si>
    <t>All relevent themes correctly identified
No incorrect themes
Nothing major missing</t>
  </si>
  <si>
    <t>Style accurately describes the format
All applicable styles mentioned</t>
  </si>
  <si>
    <t>Wrong style entirely (e.g., "Interview" for a solo vlog)
Major style elements missed</t>
  </si>
  <si>
    <t>Perfectly describes what you see (e.g., "Full body" when you see full body)
Captures multiple presence types if applicable</t>
  </si>
  <si>
    <t>Says "No visible people" when person is on screen
Says "Face only" when showing full body</t>
  </si>
  <si>
    <t>All visible text elements identified
No hallucinated text mentioned</t>
  </si>
  <si>
    <t>Mentions text that doesn't exist
Misses obvious text (like brand logos, captions)</t>
  </si>
  <si>
    <t>All major elements present (Creator, Product, Props, etc.)
Nothing incorrect added</t>
  </si>
  <si>
    <t>Missed the main subject (e.g., says "Food" when it's about "Technology")</t>
  </si>
  <si>
    <t>Correctly identifies any concerning content
Doesn't over-flag safe content</t>
  </si>
  <si>
    <t>Flags family content as unsafe
Misses obvious safety issues (strong language, etc.)</t>
  </si>
  <si>
    <t>Are brands actually featured?
Is the brand type correct?</t>
  </si>
  <si>
    <t>Brand Type</t>
  </si>
  <si>
    <t>Correctly identifies brand presence/absence
Right type if brands present</t>
  </si>
  <si>
    <t>Says "No brands" when brands clearly shown
Wrong brand type entirely</t>
  </si>
  <si>
    <t>Brand Names</t>
  </si>
  <si>
    <t>Can you CLEARLY see or hear the brand name?
Logo must be readable OR explicitly spoken</t>
  </si>
  <si>
    <t>Only lists brands that are clearly visible/spoken
Doesn't guess brand names</t>
  </si>
  <si>
    <t>Lists brands not in video (hallucination)
Guesses brands from generic products</t>
  </si>
  <si>
    <t>Transcript</t>
  </si>
  <si>
    <t>Does it match what was actually said?
Are filler words removed as instructed?
No visual descriptions included?</t>
  </si>
  <si>
    <t>Accurate word-for-word transcription
Clean (no "um", "uh")
No visual descriptions</t>
  </si>
  <si>
    <t>Completely wrong or includes visual descriptions
Made-up dialogue</t>
  </si>
  <si>
    <t>SCORE: 2</t>
  </si>
  <si>
    <t>Mostly accurate but some words wrong
Includes some filler words</t>
  </si>
  <si>
    <t xml:space="preserve">Got main elements but missed some secondary ones
</t>
  </si>
  <si>
    <t xml:space="preserve"> </t>
  </si>
  <si>
    <t xml:space="preserve">Content Theme </t>
  </si>
  <si>
    <t>On Screen Text</t>
  </si>
  <si>
    <t>Key Elements</t>
  </si>
  <si>
    <t>Overall Score</t>
  </si>
  <si>
    <t>Notes</t>
  </si>
  <si>
    <t>Completely wrong themes
Missed the main theme
Choses "No Category" when clear category exists</t>
  </si>
  <si>
    <t>• "blunt" transcribed as "blind"
• "cuff" transcribed as "cough"
• These incorrects however are due to the it being music played instead of the creator speaking - where they may not always be clear with pronunciation
• Unable to identify that it was a transition video for Content Style
• Doesn't identify that some of the gestures are not family-friendly, for example the blunt and the lyrics abt cuffing</t>
  </si>
  <si>
    <t>• Misses "lets catch food" in the beginning - changes to catching my food which is the onscreen text.
• "Lionfish" transcribed to "hogfish" instead
• Doesn't quite hit the right content theme or niche - perhaps we don't have enough categories to choose from. (e.g. hunting)
• I would say mostly correct for key video elements except for clothing/fashion items</t>
  </si>
  <si>
    <t>• "matte" transcribed as "marked"
• "haus labs" transcribed as "huda labs" - making assumptions
• Edited out phrases such as "I love it"
• Everything between 1:00 to 1:17 is missing
• Key Video Elements not fully accurate - not clothing/fashion items or technology</t>
  </si>
  <si>
    <t>• Everything seems pretty accurate</t>
  </si>
  <si>
    <t>• Occasional appearances may be more of an accurate "amount of creator presence" described</t>
  </si>
  <si>
    <t>• While not mentioned, brands printed on gamer's clothing (e.g. Merc, Samsung, Odyssey)
• Not sure if on screen text is supposed to include the transcript or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</si>
</sst>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2"/>
      <color rgb="FF000000"/>
      <name val="Aptos Narrow"/>
      <family val="2"/>
      <scheme val="minor"/>
    </font>
    <font>
      <b/>
      <u/>
      <sz val="12"/>
      <color theme="1"/>
      <name val="Aptos Narrow"/>
      <scheme val="minor"/>
    </font>
    <font>
      <b/>
      <u/>
      <sz val="14"/>
      <color theme="1"/>
      <name val="Aptos Narrow"/>
      <scheme val="minor"/>
    </font>
    <font>
      <u/>
      <sz val="12"/>
      <color theme="10"/>
      <name val="Aptos Narrow"/>
      <family val="2"/>
      <scheme val="minor"/>
    </font>
    <font>
      <sz val="12"/>
      <color theme="1"/>
      <name val="Aptos Narrow (Body)"/>
    </font>
    <font>
      <b/>
      <u/>
      <sz val="16"/>
      <color theme="1"/>
      <name val="Aptos Narrow"/>
      <scheme val="minor"/>
    </font>
    <font>
      <sz val="14"/>
      <color rgb="FF00000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1" fillId="0" borderId="0" applyNumberFormat="0" applyFill="0" applyBorder="0" applyAlignment="0" applyProtection="0"/>
  </cellStyleXfs>
  <cellXfs count="16">
    <xf numFmtId="0" fontId="0" fillId="0" borderId="0" xfId="0"/>
    <xf numFmtId="0" fontId="0" fillId="0" borderId="0" xfId="0" applyAlignment="1">
      <alignment wrapText="1"/>
    </xf>
    <xf numFmtId="0" fontId="0" fillId="0" borderId="0" xfId="0" applyAlignment="1">
      <alignment vertical="top" wrapText="1"/>
    </xf>
    <xf numFmtId="0" fontId="18" fillId="0" borderId="0" xfId="0" applyFont="1" applyAlignment="1">
      <alignment wrapText="1"/>
    </xf>
    <xf numFmtId="0" fontId="20" fillId="0" borderId="0" xfId="0" applyFont="1" applyAlignment="1">
      <alignment vertical="top" wrapText="1"/>
    </xf>
    <xf numFmtId="0" fontId="20" fillId="0" borderId="0" xfId="0" applyFont="1"/>
    <xf numFmtId="0" fontId="21" fillId="0" borderId="0" xfId="42" applyAlignment="1">
      <alignment vertical="top" wrapText="1"/>
    </xf>
    <xf numFmtId="0" fontId="0" fillId="0" borderId="0" xfId="0" applyAlignment="1"/>
    <xf numFmtId="0" fontId="22" fillId="0" borderId="0" xfId="0" applyFont="1" applyAlignment="1"/>
    <xf numFmtId="0" fontId="16" fillId="0" borderId="0" xfId="0" applyFont="1" applyAlignment="1"/>
    <xf numFmtId="0" fontId="19" fillId="0" borderId="0" xfId="0" applyFont="1" applyAlignment="1"/>
    <xf numFmtId="0" fontId="23" fillId="0" borderId="0" xfId="0" applyFont="1" applyAlignment="1"/>
    <xf numFmtId="0" fontId="24" fillId="0" borderId="0" xfId="0" applyFont="1" applyAlignment="1">
      <alignment horizontal="center" vertical="center"/>
    </xf>
    <xf numFmtId="0" fontId="24" fillId="0" borderId="0" xfId="0" applyFont="1" applyAlignment="1">
      <alignment horizontal="left" vertical="center"/>
    </xf>
    <xf numFmtId="0" fontId="24" fillId="0" borderId="0" xfId="0" applyFont="1" applyAlignment="1">
      <alignment horizontal="center"/>
    </xf>
    <xf numFmtId="0" fontId="18" fillId="0" borderId="0" xfId="0" applyNumberFormat="1" applyFont="1" applyAlignment="1">
      <alignment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0">
    <dxf>
      <font>
        <b val="0"/>
        <i val="0"/>
        <strike val="0"/>
        <condense val="0"/>
        <extend val="0"/>
        <outline val="0"/>
        <shadow val="0"/>
        <u val="none"/>
        <vertAlign val="baseline"/>
        <sz val="12"/>
        <color rgb="FF000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4"/>
        <color rgb="FF000000"/>
        <name val="Aptos Narrow"/>
        <family val="2"/>
        <scheme val="minor"/>
      </font>
      <alignment horizontal="center" vertical="center"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theme="1"/>
        <name val="Aptos Narrow"/>
        <family val="2"/>
        <scheme val="minor"/>
      </font>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theme="1"/>
        <name val="Aptos Narrow"/>
        <family val="2"/>
        <scheme val="minor"/>
      </font>
      <alignment horizontal="general" vertical="bottom" textRotation="0" wrapText="0" indent="0" justifyLastLine="0" shrinkToFit="0" readingOrder="0"/>
    </dxf>
    <dxf>
      <font>
        <b val="0"/>
        <i val="0"/>
        <strike val="0"/>
        <condense val="0"/>
        <extend val="0"/>
        <outline val="0"/>
        <shadow val="0"/>
        <u val="none"/>
        <vertAlign val="baseline"/>
        <sz val="12"/>
        <color rgb="FF000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B00C484-2FEA-2047-A981-A4C9C0C5483F}" name="Table2" displayName="Table2" ref="A1:M24" totalsRowShown="0" headerRowDxfId="2" dataDxfId="8">
  <autoFilter ref="A1:M24" xr:uid="{5B00C484-2FEA-2047-A981-A4C9C0C5483F}"/>
  <tableColumns count="13">
    <tableColumn id="1" xr3:uid="{EC1D7316-5BF8-5747-AB25-0A32C5D32913}" name="Video Name" dataDxfId="19"/>
    <tableColumn id="2" xr3:uid="{A32D9AA5-E848-6846-AB1E-0E6BFB6BEA66}" name="Summary" dataDxfId="18"/>
    <tableColumn id="3" xr3:uid="{C732009D-B91D-C54A-83F0-FC91D7B20C35}" name="Content Theme " dataDxfId="17"/>
    <tableColumn id="4" xr3:uid="{0E2C8F17-1D52-2E49-A9E2-BC298C67571D}" name="Content Style" dataDxfId="16"/>
    <tableColumn id="5" xr3:uid="{251C5403-389E-0E41-9F3D-8C8EA36418E7}" name="Creator Presence" dataDxfId="15"/>
    <tableColumn id="6" xr3:uid="{95673441-7C8A-7740-8BC9-61E9C23AF00D}" name="On Screen Text" dataDxfId="14"/>
    <tableColumn id="7" xr3:uid="{805391BF-AAE8-E446-A7DB-D8A97AB3D46F}" name="Key Elements" dataDxfId="13"/>
    <tableColumn id="8" xr3:uid="{608BA7D3-58F1-5F42-B4BF-E98666EF7072}" name="Brand Safety" dataDxfId="12"/>
    <tableColumn id="9" xr3:uid="{F9BC25DA-2321-434D-A258-51DEF8554E80}" name="Brand Type" dataDxfId="11"/>
    <tableColumn id="10" xr3:uid="{390AE33D-136F-A04A-8CB6-4B51622519CF}" name="Brand Names" dataDxfId="10"/>
    <tableColumn id="11" xr3:uid="{9D117665-48E9-2F49-9E3B-808210ECEE1A}" name="Transcript" dataDxfId="9"/>
    <tableColumn id="12" xr3:uid="{31737885-4A72-2F4A-B7AA-191520876648}" name="Overall Score" dataDxfId="1">
      <calculatedColumnFormula array="1">SUM(Table2[[#This Row],[Summary]:[Transcript]]/10)</calculatedColumnFormula>
    </tableColumn>
    <tableColumn id="13" xr3:uid="{CD197DAC-0F34-0F44-878F-D4004EA7A0C1}" name="Notes" dataDxfId="0"/>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B8CF70-A0CD-9E43-806D-365026EA078A}" name="Table3" displayName="Table3" ref="A14:C19" totalsRowShown="0" headerRowDxfId="4" dataDxfId="3">
  <autoFilter ref="A14:C19" xr:uid="{25B8CF70-A0CD-9E43-806D-365026EA078A}"/>
  <tableColumns count="3">
    <tableColumn id="1" xr3:uid="{F42B7AA0-7FAD-E146-B7AF-88E69AA803AF}" name="Score" dataDxfId="7"/>
    <tableColumn id="2" xr3:uid="{1D80EB32-A2C4-E440-8577-BB46229B8425}" name="Rating" dataDxfId="6"/>
    <tableColumn id="3" xr3:uid="{00345FDA-C9ED-F94B-ACE5-E75B9E799435}" name="Criteria" dataDxfId="5"/>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linqia-video-analyser-bucket.s3.us-east-2.amazonaws.com/Videos%20for%20Analysis/Education.mp4" TargetMode="External"/><Relationship Id="rId3" Type="http://schemas.openxmlformats.org/officeDocument/2006/relationships/hyperlink" Target="https://linqia-video-analyser-bucket.s3.us-east-2.amazonaws.com/Videos%20for%20Analysis/Beauty.mp4" TargetMode="External"/><Relationship Id="rId7" Type="http://schemas.openxmlformats.org/officeDocument/2006/relationships/hyperlink" Target="https://linqia-video-analyser-bucket.s3.us-east-2.amazonaws.com/Videos%20for%20Analysis/Education.mp4" TargetMode="External"/><Relationship Id="rId2" Type="http://schemas.openxmlformats.org/officeDocument/2006/relationships/hyperlink" Target="https://linqia-video-analyser-bucket.s3.us-east-2.amazonaws.com/Videos%20for%20Analysis/Beauty%202.mp4" TargetMode="External"/><Relationship Id="rId1" Type="http://schemas.openxmlformats.org/officeDocument/2006/relationships/hyperlink" Target="https://linqia-video-analyser-bucket.s3.us-east-2.amazonaws.com/Videos%20for%20Analysis/Auto%20Repair.mp4" TargetMode="External"/><Relationship Id="rId6" Type="http://schemas.openxmlformats.org/officeDocument/2006/relationships/hyperlink" Target="https://linqia-video-analyser-bucket.s3.us-east-2.amazonaws.com/Videos%20for%20Analysis/DIY%20Craft.mp4" TargetMode="External"/><Relationship Id="rId5" Type="http://schemas.openxmlformats.org/officeDocument/2006/relationships/hyperlink" Target="https://linqia-video-analyser-bucket.s3.us-east-2.amazonaws.com/Videos%20for%20Analysis/Catching%20Food.mp4" TargetMode="External"/><Relationship Id="rId4" Type="http://schemas.openxmlformats.org/officeDocument/2006/relationships/hyperlink" Target="https://linqia-video-analyser-bucket.s3.us-east-2.amazonaws.com/Videos%20for%20Analysis/Budget%20Travel.mp4" TargetMode="External"/><Relationship Id="rId9" Type="http://schemas.openxmlformats.org/officeDocument/2006/relationships/hyperlink" Target="https://linqia-video-analyser-bucket.s3.us-east-2.amazonaws.com/Videos%20for%20Analysis/Esport.mp4"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2A129F-1A64-4448-921A-AFDEC1545F0E}">
  <dimension ref="A1:L24"/>
  <sheetViews>
    <sheetView topLeftCell="B1" zoomScaleNormal="100" workbookViewId="0">
      <selection activeCell="B2" sqref="B2"/>
    </sheetView>
    <sheetView tabSelected="1" topLeftCell="E5" zoomScale="90" zoomScaleNormal="90" workbookViewId="1">
      <selection activeCell="I10" sqref="I10"/>
    </sheetView>
  </sheetViews>
  <sheetFormatPr baseColWidth="10" defaultRowHeight="16" x14ac:dyDescent="0.2"/>
  <cols>
    <col min="1" max="1" width="16.5" customWidth="1"/>
    <col min="2" max="2" width="34.1640625" customWidth="1"/>
    <col min="3" max="3" width="49" customWidth="1"/>
    <col min="4" max="4" width="23.1640625" customWidth="1"/>
    <col min="5" max="5" width="26.33203125" customWidth="1"/>
    <col min="6" max="6" width="24.83203125" customWidth="1"/>
    <col min="7" max="7" width="198" bestFit="1" customWidth="1"/>
    <col min="8" max="8" width="40.83203125" customWidth="1"/>
    <col min="9" max="9" width="31.33203125" customWidth="1"/>
    <col min="10" max="10" width="23.83203125" customWidth="1"/>
    <col min="11" max="11" width="18.5" customWidth="1"/>
    <col min="12" max="12" width="159.83203125" customWidth="1"/>
  </cols>
  <sheetData>
    <row r="1" spans="1:12" s="5" customFormat="1" ht="20" x14ac:dyDescent="0.25">
      <c r="A1" s="4" t="s">
        <v>0</v>
      </c>
      <c r="B1" s="4" t="s">
        <v>1</v>
      </c>
      <c r="C1" s="4" t="s">
        <v>2</v>
      </c>
      <c r="D1" s="4" t="s">
        <v>3</v>
      </c>
      <c r="E1" s="4" t="s">
        <v>4</v>
      </c>
      <c r="F1" s="4" t="s">
        <v>5</v>
      </c>
      <c r="G1" s="4" t="s">
        <v>6</v>
      </c>
      <c r="H1" s="4" t="s">
        <v>7</v>
      </c>
      <c r="I1" s="4" t="s">
        <v>8</v>
      </c>
      <c r="J1" s="4" t="s">
        <v>9</v>
      </c>
      <c r="K1" s="4" t="s">
        <v>10</v>
      </c>
      <c r="L1" s="4" t="s">
        <v>11</v>
      </c>
    </row>
    <row r="2" spans="1:12" ht="119" x14ac:dyDescent="0.2">
      <c r="A2" s="2" t="s">
        <v>12</v>
      </c>
      <c r="B2" s="6" t="s">
        <v>13</v>
      </c>
      <c r="C2" s="2" t="s">
        <v>14</v>
      </c>
      <c r="D2" s="2" t="s">
        <v>15</v>
      </c>
      <c r="E2" s="2" t="s">
        <v>16</v>
      </c>
      <c r="F2" s="2" t="s">
        <v>17</v>
      </c>
      <c r="G2" s="2"/>
      <c r="H2" s="2" t="s">
        <v>18</v>
      </c>
      <c r="I2" s="2" t="s">
        <v>19</v>
      </c>
      <c r="J2" s="2" t="s">
        <v>20</v>
      </c>
      <c r="K2" s="2" t="s">
        <v>21</v>
      </c>
      <c r="L2" s="2"/>
    </row>
    <row r="3" spans="1:12" ht="187" x14ac:dyDescent="0.2">
      <c r="A3" s="2" t="s">
        <v>22</v>
      </c>
      <c r="B3" s="6" t="s">
        <v>23</v>
      </c>
      <c r="C3" s="2" t="s">
        <v>24</v>
      </c>
      <c r="D3" s="2" t="s">
        <v>25</v>
      </c>
      <c r="E3" s="2" t="s">
        <v>26</v>
      </c>
      <c r="F3" s="2" t="s">
        <v>27</v>
      </c>
      <c r="G3" s="2"/>
      <c r="H3" s="2" t="s">
        <v>28</v>
      </c>
      <c r="I3" s="2" t="s">
        <v>19</v>
      </c>
      <c r="J3" s="2" t="s">
        <v>29</v>
      </c>
      <c r="K3" s="2" t="s">
        <v>30</v>
      </c>
      <c r="L3" s="2" t="s">
        <v>31</v>
      </c>
    </row>
    <row r="4" spans="1:12" ht="85" x14ac:dyDescent="0.2">
      <c r="A4" s="2" t="s">
        <v>32</v>
      </c>
      <c r="B4" s="6" t="s">
        <v>33</v>
      </c>
      <c r="C4" s="2" t="s">
        <v>34</v>
      </c>
      <c r="D4" s="2" t="s">
        <v>35</v>
      </c>
      <c r="E4" s="2" t="s">
        <v>36</v>
      </c>
      <c r="F4" s="2" t="s">
        <v>37</v>
      </c>
      <c r="G4" s="2"/>
      <c r="H4" s="2" t="s">
        <v>38</v>
      </c>
      <c r="I4" s="2" t="s">
        <v>19</v>
      </c>
      <c r="J4" s="2" t="s">
        <v>39</v>
      </c>
      <c r="K4" s="2"/>
      <c r="L4" s="2" t="s">
        <v>40</v>
      </c>
    </row>
    <row r="5" spans="1:12" ht="409.6" x14ac:dyDescent="0.2">
      <c r="A5" s="2" t="s">
        <v>41</v>
      </c>
      <c r="B5" s="6" t="s">
        <v>42</v>
      </c>
      <c r="C5" s="2" t="s">
        <v>43</v>
      </c>
      <c r="D5" s="2" t="s">
        <v>44</v>
      </c>
      <c r="E5" s="2" t="s">
        <v>36</v>
      </c>
      <c r="F5" s="2" t="s">
        <v>45</v>
      </c>
      <c r="G5" s="2" t="s">
        <v>46</v>
      </c>
      <c r="H5" s="2" t="s">
        <v>47</v>
      </c>
      <c r="I5" s="2" t="s">
        <v>19</v>
      </c>
      <c r="J5" s="2" t="s">
        <v>48</v>
      </c>
      <c r="K5" s="2" t="s">
        <v>49</v>
      </c>
      <c r="L5" s="2" t="s">
        <v>50</v>
      </c>
    </row>
    <row r="6" spans="1:12" ht="141" customHeight="1" x14ac:dyDescent="0.2">
      <c r="A6" s="2" t="s">
        <v>51</v>
      </c>
      <c r="B6" s="6" t="s">
        <v>52</v>
      </c>
      <c r="C6" s="2" t="s">
        <v>53</v>
      </c>
      <c r="D6" s="2" t="s">
        <v>54</v>
      </c>
      <c r="E6" s="2" t="s">
        <v>55</v>
      </c>
      <c r="F6" s="2" t="s">
        <v>56</v>
      </c>
      <c r="G6" s="2" t="s">
        <v>57</v>
      </c>
      <c r="H6" s="2" t="s">
        <v>58</v>
      </c>
      <c r="I6" s="2" t="s">
        <v>59</v>
      </c>
      <c r="J6" s="2" t="s">
        <v>60</v>
      </c>
      <c r="K6" s="2"/>
      <c r="L6" s="2" t="s">
        <v>61</v>
      </c>
    </row>
    <row r="7" spans="1:12" ht="102" x14ac:dyDescent="0.2">
      <c r="A7" s="2" t="s">
        <v>62</v>
      </c>
      <c r="B7" s="2" t="s">
        <v>63</v>
      </c>
      <c r="C7" s="2" t="s">
        <v>64</v>
      </c>
      <c r="D7" s="2" t="s">
        <v>65</v>
      </c>
      <c r="E7" s="2" t="s">
        <v>66</v>
      </c>
      <c r="F7" s="2" t="s">
        <v>67</v>
      </c>
      <c r="G7" s="2" t="s">
        <v>68</v>
      </c>
      <c r="H7" s="2" t="s">
        <v>69</v>
      </c>
      <c r="I7" s="2" t="s">
        <v>59</v>
      </c>
      <c r="J7" s="2" t="s">
        <v>39</v>
      </c>
      <c r="K7" s="2"/>
      <c r="L7" s="2" t="s">
        <v>70</v>
      </c>
    </row>
    <row r="8" spans="1:12" ht="85" x14ac:dyDescent="0.2">
      <c r="A8" s="2" t="s">
        <v>71</v>
      </c>
      <c r="B8" s="6" t="s">
        <v>72</v>
      </c>
      <c r="C8" s="2" t="s">
        <v>73</v>
      </c>
      <c r="D8" s="2" t="s">
        <v>74</v>
      </c>
      <c r="E8" s="2" t="s">
        <v>75</v>
      </c>
      <c r="F8" s="2" t="s">
        <v>76</v>
      </c>
      <c r="G8" s="2" t="s">
        <v>77</v>
      </c>
      <c r="H8" s="2" t="s">
        <v>78</v>
      </c>
      <c r="I8" s="2" t="s">
        <v>59</v>
      </c>
      <c r="J8" s="2" t="s">
        <v>39</v>
      </c>
      <c r="K8" s="2"/>
      <c r="L8" s="2" t="s">
        <v>79</v>
      </c>
    </row>
    <row r="9" spans="1:12" ht="68" x14ac:dyDescent="0.2">
      <c r="A9" s="2" t="s">
        <v>80</v>
      </c>
      <c r="B9" s="6" t="s">
        <v>81</v>
      </c>
      <c r="C9" s="6" t="s">
        <v>81</v>
      </c>
      <c r="D9" s="2" t="s">
        <v>82</v>
      </c>
      <c r="E9" s="2" t="s">
        <v>83</v>
      </c>
      <c r="F9" s="2" t="s">
        <v>84</v>
      </c>
      <c r="G9" s="2" t="s">
        <v>85</v>
      </c>
      <c r="H9" s="2" t="s">
        <v>86</v>
      </c>
      <c r="I9" s="2" t="s">
        <v>19</v>
      </c>
      <c r="J9" s="2" t="s">
        <v>39</v>
      </c>
      <c r="K9" s="2"/>
      <c r="L9" s="2"/>
    </row>
    <row r="10" spans="1:12" ht="102" x14ac:dyDescent="0.2">
      <c r="A10" s="2" t="s">
        <v>87</v>
      </c>
      <c r="B10" s="6" t="s">
        <v>88</v>
      </c>
      <c r="C10" s="2" t="s">
        <v>89</v>
      </c>
      <c r="D10" s="2" t="s">
        <v>90</v>
      </c>
      <c r="E10" s="2" t="s">
        <v>91</v>
      </c>
      <c r="F10" s="2" t="s">
        <v>92</v>
      </c>
      <c r="G10" s="2" t="s">
        <v>93</v>
      </c>
      <c r="H10" s="2" t="s">
        <v>94</v>
      </c>
      <c r="I10" s="2" t="s">
        <v>59</v>
      </c>
      <c r="J10" s="2" t="s">
        <v>39</v>
      </c>
      <c r="K10" s="2"/>
      <c r="L10" s="2" t="s">
        <v>95</v>
      </c>
    </row>
    <row r="11" spans="1:12" ht="102" x14ac:dyDescent="0.2">
      <c r="A11" s="2" t="s">
        <v>96</v>
      </c>
      <c r="B11" s="2" t="s">
        <v>97</v>
      </c>
      <c r="C11" s="2" t="s">
        <v>98</v>
      </c>
      <c r="D11" s="2" t="s">
        <v>99</v>
      </c>
      <c r="E11" s="2" t="s">
        <v>100</v>
      </c>
      <c r="F11" s="2" t="s">
        <v>101</v>
      </c>
      <c r="G11" s="2"/>
      <c r="H11" s="2" t="s">
        <v>102</v>
      </c>
      <c r="I11" s="2" t="s">
        <v>59</v>
      </c>
      <c r="J11" s="2" t="s">
        <v>39</v>
      </c>
      <c r="K11" s="2"/>
      <c r="L11" s="2" t="s">
        <v>103</v>
      </c>
    </row>
    <row r="12" spans="1:12" ht="136" x14ac:dyDescent="0.2">
      <c r="A12" s="2" t="s">
        <v>104</v>
      </c>
      <c r="B12" s="2" t="s">
        <v>105</v>
      </c>
      <c r="C12" s="2" t="s">
        <v>106</v>
      </c>
      <c r="D12" s="2" t="s">
        <v>107</v>
      </c>
      <c r="E12" s="2" t="s">
        <v>108</v>
      </c>
      <c r="F12" s="2" t="s">
        <v>109</v>
      </c>
      <c r="G12" s="2" t="s">
        <v>110</v>
      </c>
      <c r="H12" s="2" t="s">
        <v>111</v>
      </c>
      <c r="I12" s="2" t="s">
        <v>59</v>
      </c>
      <c r="J12" s="2" t="s">
        <v>112</v>
      </c>
      <c r="K12" s="2" t="s">
        <v>113</v>
      </c>
      <c r="L12" s="2" t="s">
        <v>114</v>
      </c>
    </row>
    <row r="13" spans="1:12" ht="272" x14ac:dyDescent="0.2">
      <c r="A13" s="2" t="s">
        <v>115</v>
      </c>
      <c r="B13" s="2" t="s">
        <v>116</v>
      </c>
      <c r="C13" s="2" t="s">
        <v>117</v>
      </c>
      <c r="D13" s="2" t="s">
        <v>118</v>
      </c>
      <c r="E13" s="2" t="s">
        <v>119</v>
      </c>
      <c r="F13" s="2" t="s">
        <v>101</v>
      </c>
      <c r="G13" s="2" t="s">
        <v>120</v>
      </c>
      <c r="H13" s="2" t="s">
        <v>121</v>
      </c>
      <c r="I13" s="2" t="s">
        <v>59</v>
      </c>
      <c r="J13" s="2" t="s">
        <v>122</v>
      </c>
      <c r="K13" s="2" t="s">
        <v>123</v>
      </c>
      <c r="L13" s="2" t="s">
        <v>124</v>
      </c>
    </row>
    <row r="14" spans="1:12" ht="187" x14ac:dyDescent="0.2">
      <c r="A14" s="2" t="s">
        <v>125</v>
      </c>
      <c r="B14" s="2" t="s">
        <v>126</v>
      </c>
      <c r="C14" s="2" t="s">
        <v>127</v>
      </c>
      <c r="D14" s="2" t="s">
        <v>128</v>
      </c>
      <c r="E14" s="2" t="s">
        <v>129</v>
      </c>
      <c r="F14" s="2" t="s">
        <v>130</v>
      </c>
      <c r="G14" s="2" t="s">
        <v>85</v>
      </c>
      <c r="H14" s="2" t="s">
        <v>131</v>
      </c>
      <c r="I14" s="2" t="s">
        <v>59</v>
      </c>
      <c r="J14" s="2" t="s">
        <v>132</v>
      </c>
      <c r="K14" s="2" t="s">
        <v>133</v>
      </c>
      <c r="L14" s="2" t="s">
        <v>134</v>
      </c>
    </row>
    <row r="15" spans="1:12" ht="85" x14ac:dyDescent="0.2">
      <c r="A15" s="2" t="s">
        <v>135</v>
      </c>
      <c r="B15" s="2" t="s">
        <v>136</v>
      </c>
      <c r="C15" s="2" t="s">
        <v>137</v>
      </c>
      <c r="D15" s="2" t="s">
        <v>138</v>
      </c>
      <c r="E15" s="2" t="s">
        <v>83</v>
      </c>
      <c r="F15" s="2" t="s">
        <v>17</v>
      </c>
      <c r="G15" s="2"/>
      <c r="H15" s="2" t="s">
        <v>139</v>
      </c>
      <c r="I15" s="2" t="s">
        <v>19</v>
      </c>
      <c r="J15" s="2" t="s">
        <v>39</v>
      </c>
      <c r="K15" s="2"/>
      <c r="L15" s="2" t="s">
        <v>140</v>
      </c>
    </row>
    <row r="16" spans="1:12" ht="68" x14ac:dyDescent="0.2">
      <c r="A16" s="2" t="s">
        <v>141</v>
      </c>
      <c r="B16" s="2" t="s">
        <v>142</v>
      </c>
      <c r="C16" s="2" t="s">
        <v>143</v>
      </c>
      <c r="D16" s="2" t="s">
        <v>144</v>
      </c>
      <c r="E16" s="2" t="s">
        <v>129</v>
      </c>
      <c r="F16" s="2" t="s">
        <v>145</v>
      </c>
      <c r="G16" s="2" t="s">
        <v>146</v>
      </c>
      <c r="H16" s="2" t="s">
        <v>147</v>
      </c>
      <c r="I16" s="2" t="s">
        <v>19</v>
      </c>
      <c r="J16" s="2" t="s">
        <v>60</v>
      </c>
      <c r="K16" s="2" t="s">
        <v>148</v>
      </c>
      <c r="L16" s="2" t="s">
        <v>149</v>
      </c>
    </row>
    <row r="17" spans="1:12" ht="68" x14ac:dyDescent="0.2">
      <c r="A17" s="2" t="s">
        <v>150</v>
      </c>
      <c r="B17" s="2" t="s">
        <v>151</v>
      </c>
      <c r="C17" s="2" t="s">
        <v>152</v>
      </c>
      <c r="D17" s="2" t="s">
        <v>153</v>
      </c>
      <c r="E17" s="2" t="s">
        <v>153</v>
      </c>
      <c r="F17" s="2" t="s">
        <v>37</v>
      </c>
      <c r="G17" s="2"/>
      <c r="H17" s="2" t="s">
        <v>154</v>
      </c>
      <c r="I17" s="2" t="s">
        <v>19</v>
      </c>
      <c r="J17" s="2" t="s">
        <v>39</v>
      </c>
      <c r="K17" s="2"/>
      <c r="L17" s="2" t="s">
        <v>155</v>
      </c>
    </row>
    <row r="18" spans="1:12" ht="119" x14ac:dyDescent="0.2">
      <c r="A18" s="2" t="s">
        <v>156</v>
      </c>
      <c r="B18" s="2" t="s">
        <v>157</v>
      </c>
      <c r="C18" s="2" t="s">
        <v>158</v>
      </c>
      <c r="D18" s="2" t="s">
        <v>159</v>
      </c>
      <c r="E18" s="2" t="s">
        <v>160</v>
      </c>
      <c r="F18" s="2" t="s">
        <v>45</v>
      </c>
      <c r="G18" s="2" t="s">
        <v>161</v>
      </c>
      <c r="H18" s="2" t="s">
        <v>47</v>
      </c>
      <c r="I18" s="2" t="s">
        <v>59</v>
      </c>
      <c r="J18" s="2" t="s">
        <v>39</v>
      </c>
      <c r="K18" s="2"/>
      <c r="L18" s="2" t="s">
        <v>162</v>
      </c>
    </row>
    <row r="19" spans="1:12" ht="85" x14ac:dyDescent="0.2">
      <c r="A19" s="2" t="s">
        <v>163</v>
      </c>
      <c r="B19" s="2" t="s">
        <v>164</v>
      </c>
      <c r="C19" s="2" t="s">
        <v>165</v>
      </c>
      <c r="D19" s="2" t="s">
        <v>166</v>
      </c>
      <c r="E19" s="2" t="s">
        <v>167</v>
      </c>
      <c r="F19" s="2" t="s">
        <v>101</v>
      </c>
      <c r="G19" s="2" t="s">
        <v>168</v>
      </c>
      <c r="H19" s="2" t="s">
        <v>169</v>
      </c>
      <c r="I19" s="2" t="s">
        <v>59</v>
      </c>
      <c r="J19" s="2" t="s">
        <v>170</v>
      </c>
      <c r="K19" s="2" t="s">
        <v>171</v>
      </c>
      <c r="L19" s="2" t="s">
        <v>172</v>
      </c>
    </row>
    <row r="20" spans="1:12" ht="119" x14ac:dyDescent="0.2">
      <c r="A20" s="2" t="s">
        <v>173</v>
      </c>
      <c r="B20" s="2" t="s">
        <v>174</v>
      </c>
      <c r="C20" s="2" t="s">
        <v>175</v>
      </c>
      <c r="D20" s="2" t="s">
        <v>144</v>
      </c>
      <c r="E20" s="2" t="s">
        <v>129</v>
      </c>
      <c r="F20" s="2" t="s">
        <v>176</v>
      </c>
      <c r="G20" s="2" t="s">
        <v>177</v>
      </c>
      <c r="H20" s="2" t="s">
        <v>178</v>
      </c>
      <c r="I20" s="2" t="s">
        <v>59</v>
      </c>
      <c r="J20" s="2" t="s">
        <v>60</v>
      </c>
      <c r="K20" s="2"/>
      <c r="L20" s="2" t="s">
        <v>179</v>
      </c>
    </row>
    <row r="21" spans="1:12" ht="68" x14ac:dyDescent="0.2">
      <c r="A21" s="2" t="s">
        <v>180</v>
      </c>
      <c r="B21" s="2" t="s">
        <v>181</v>
      </c>
      <c r="C21" s="2" t="s">
        <v>182</v>
      </c>
      <c r="D21" s="2" t="s">
        <v>183</v>
      </c>
      <c r="E21" s="2" t="s">
        <v>184</v>
      </c>
      <c r="F21" s="2" t="s">
        <v>185</v>
      </c>
      <c r="G21" s="2" t="s">
        <v>186</v>
      </c>
      <c r="H21" s="2" t="s">
        <v>187</v>
      </c>
      <c r="I21" s="2" t="s">
        <v>59</v>
      </c>
      <c r="J21" s="2" t="s">
        <v>39</v>
      </c>
      <c r="K21" s="2" t="s">
        <v>148</v>
      </c>
      <c r="L21" s="2" t="s">
        <v>188</v>
      </c>
    </row>
    <row r="22" spans="1:12" ht="136" x14ac:dyDescent="0.2">
      <c r="A22" s="2" t="s">
        <v>189</v>
      </c>
      <c r="B22" s="2" t="s">
        <v>190</v>
      </c>
      <c r="C22" s="2" t="s">
        <v>191</v>
      </c>
      <c r="D22" s="2" t="s">
        <v>192</v>
      </c>
      <c r="E22" s="2" t="s">
        <v>193</v>
      </c>
      <c r="F22" s="2" t="s">
        <v>194</v>
      </c>
      <c r="G22" s="2" t="s">
        <v>195</v>
      </c>
      <c r="H22" s="2" t="s">
        <v>196</v>
      </c>
      <c r="I22" s="2" t="s">
        <v>59</v>
      </c>
      <c r="J22" s="2" t="s">
        <v>39</v>
      </c>
      <c r="K22" s="2"/>
      <c r="L22" s="2"/>
    </row>
    <row r="23" spans="1:12" ht="102" x14ac:dyDescent="0.2">
      <c r="A23" s="2" t="s">
        <v>197</v>
      </c>
      <c r="B23" s="2" t="s">
        <v>198</v>
      </c>
      <c r="C23" s="2" t="s">
        <v>199</v>
      </c>
      <c r="D23" s="2" t="s">
        <v>138</v>
      </c>
      <c r="E23" s="2" t="s">
        <v>200</v>
      </c>
      <c r="F23" s="2" t="s">
        <v>201</v>
      </c>
      <c r="G23" s="2" t="s">
        <v>202</v>
      </c>
      <c r="H23" s="2" t="s">
        <v>38</v>
      </c>
      <c r="I23" s="2" t="s">
        <v>19</v>
      </c>
      <c r="J23" s="2" t="s">
        <v>39</v>
      </c>
      <c r="K23" s="2"/>
      <c r="L23" s="2" t="s">
        <v>203</v>
      </c>
    </row>
    <row r="24" spans="1:12" ht="68" x14ac:dyDescent="0.2">
      <c r="A24" s="2" t="s">
        <v>204</v>
      </c>
      <c r="B24" s="2" t="s">
        <v>205</v>
      </c>
      <c r="C24" s="2" t="s">
        <v>206</v>
      </c>
      <c r="D24" s="2" t="s">
        <v>207</v>
      </c>
      <c r="E24" s="2" t="s">
        <v>75</v>
      </c>
      <c r="F24" s="2" t="s">
        <v>37</v>
      </c>
      <c r="G24" s="2" t="s">
        <v>208</v>
      </c>
      <c r="H24" s="2" t="s">
        <v>209</v>
      </c>
      <c r="I24" s="2" t="s">
        <v>19</v>
      </c>
      <c r="J24" s="2" t="s">
        <v>39</v>
      </c>
      <c r="K24" s="2"/>
      <c r="L24" s="2"/>
    </row>
  </sheetData>
  <hyperlinks>
    <hyperlink ref="B2" r:id="rId1" xr:uid="{6CA33320-2D62-F94C-A56E-78F44F35DE4A}"/>
    <hyperlink ref="B3" r:id="rId2" xr:uid="{653E45C6-5342-D34A-A46A-8C471877FD44}"/>
    <hyperlink ref="B4" r:id="rId3" xr:uid="{BCB0224C-8B60-9543-B728-33E049C75341}"/>
    <hyperlink ref="B5" r:id="rId4" xr:uid="{207AC6FD-450B-9647-9D12-C730F39A0991}"/>
    <hyperlink ref="B6" r:id="rId5" xr:uid="{5549A1DF-3C83-1743-A3CB-497DC4229A87}"/>
    <hyperlink ref="B8" r:id="rId6" xr:uid="{4F6159AE-D5C8-4A48-AE6C-D9B710A4094B}"/>
    <hyperlink ref="B9" r:id="rId7" xr:uid="{1DC8768B-31F6-0344-BFA2-891F0E67AC77}"/>
    <hyperlink ref="C9" r:id="rId8" xr:uid="{3D806EF2-3FF5-5542-9D2B-5744B713D348}"/>
    <hyperlink ref="B10" r:id="rId9" xr:uid="{CDEC0926-08DE-C544-B366-9AFAAADF9C2D}"/>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12D51-08B9-954E-BC3C-4846818D6EE1}">
  <dimension ref="A1:M24"/>
  <sheetViews>
    <sheetView tabSelected="1" topLeftCell="J1" workbookViewId="0">
      <selection activeCell="M11" sqref="M11"/>
    </sheetView>
    <sheetView topLeftCell="I1" workbookViewId="1">
      <selection activeCell="M24" sqref="A1:M24"/>
    </sheetView>
  </sheetViews>
  <sheetFormatPr baseColWidth="10" defaultRowHeight="16" x14ac:dyDescent="0.2"/>
  <cols>
    <col min="1" max="1" width="24.33203125" customWidth="1"/>
    <col min="2" max="2" width="11.1640625" customWidth="1"/>
    <col min="3" max="3" width="14" customWidth="1"/>
    <col min="4" max="4" width="14.33203125" customWidth="1"/>
    <col min="5" max="5" width="15.83203125" customWidth="1"/>
    <col min="6" max="6" width="16.6640625" customWidth="1"/>
    <col min="7" max="7" width="13.83203125" customWidth="1"/>
    <col min="8" max="8" width="13" customWidth="1"/>
    <col min="9" max="9" width="12.1640625" customWidth="1"/>
    <col min="10" max="10" width="13" customWidth="1"/>
    <col min="11" max="11" width="11.1640625" customWidth="1"/>
    <col min="12" max="12" width="14.5" customWidth="1"/>
    <col min="13" max="13" width="99.33203125" style="7" customWidth="1"/>
  </cols>
  <sheetData>
    <row r="1" spans="1:13" ht="19" x14ac:dyDescent="0.25">
      <c r="A1" s="13" t="s">
        <v>210</v>
      </c>
      <c r="B1" s="12" t="s">
        <v>224</v>
      </c>
      <c r="C1" s="12" t="s">
        <v>272</v>
      </c>
      <c r="D1" s="12" t="s">
        <v>226</v>
      </c>
      <c r="E1" s="12" t="s">
        <v>227</v>
      </c>
      <c r="F1" s="12" t="s">
        <v>273</v>
      </c>
      <c r="G1" s="12" t="s">
        <v>274</v>
      </c>
      <c r="H1" s="12" t="s">
        <v>230</v>
      </c>
      <c r="I1" s="12" t="s">
        <v>257</v>
      </c>
      <c r="J1" s="12" t="s">
        <v>260</v>
      </c>
      <c r="K1" s="12" t="s">
        <v>264</v>
      </c>
      <c r="L1" s="12" t="s">
        <v>275</v>
      </c>
      <c r="M1" s="14" t="s">
        <v>276</v>
      </c>
    </row>
    <row r="2" spans="1:13" ht="17" x14ac:dyDescent="0.2">
      <c r="A2" s="3" t="s">
        <v>12</v>
      </c>
      <c r="B2" s="3"/>
      <c r="C2" s="3"/>
      <c r="D2" s="3"/>
      <c r="E2" s="3"/>
      <c r="F2" s="3"/>
      <c r="G2" s="3"/>
      <c r="H2" s="3"/>
      <c r="I2" s="3"/>
      <c r="J2" s="3"/>
      <c r="K2" s="3"/>
      <c r="L2" s="3" cm="1">
        <f t="array" ref="L2">SUM(Table2[[#This Row],[Summary]:[Transcript]]/10)</f>
        <v>0</v>
      </c>
      <c r="M2" s="3"/>
    </row>
    <row r="3" spans="1:13" ht="85" x14ac:dyDescent="0.2">
      <c r="A3" s="3" t="s">
        <v>22</v>
      </c>
      <c r="B3" s="3">
        <v>3</v>
      </c>
      <c r="C3" s="3">
        <v>4</v>
      </c>
      <c r="D3" s="3">
        <v>4</v>
      </c>
      <c r="E3" s="3">
        <v>4</v>
      </c>
      <c r="F3" s="3">
        <v>4</v>
      </c>
      <c r="G3" s="3">
        <v>3</v>
      </c>
      <c r="H3" s="3">
        <v>4</v>
      </c>
      <c r="I3" s="3">
        <v>4</v>
      </c>
      <c r="J3" s="3">
        <v>2</v>
      </c>
      <c r="K3" s="3">
        <v>3</v>
      </c>
      <c r="L3" s="3" cm="1">
        <f t="array" ref="L3">SUM(Table2[[#This Row],[Summary]:[Transcript]]/10)</f>
        <v>3.4999999999999996</v>
      </c>
      <c r="M3" s="3" t="s">
        <v>280</v>
      </c>
    </row>
    <row r="4" spans="1:13" ht="102" x14ac:dyDescent="0.2">
      <c r="A4" s="3" t="s">
        <v>32</v>
      </c>
      <c r="B4" s="3">
        <v>1</v>
      </c>
      <c r="C4" s="3">
        <v>4</v>
      </c>
      <c r="D4" s="3">
        <v>2</v>
      </c>
      <c r="E4" s="3">
        <v>4</v>
      </c>
      <c r="F4" s="3">
        <v>4</v>
      </c>
      <c r="G4" s="3">
        <v>4</v>
      </c>
      <c r="H4" s="3">
        <v>1</v>
      </c>
      <c r="I4" s="3">
        <v>4</v>
      </c>
      <c r="J4" s="3">
        <v>4</v>
      </c>
      <c r="K4" s="3">
        <v>3</v>
      </c>
      <c r="L4" s="3" cm="1">
        <f t="array" ref="L4">SUM(Table2[[#This Row],[Summary]:[Transcript]]/10)</f>
        <v>3.0999999999999996</v>
      </c>
      <c r="M4" s="3" t="s">
        <v>278</v>
      </c>
    </row>
    <row r="5" spans="1:13" ht="17" x14ac:dyDescent="0.2">
      <c r="A5" s="3" t="s">
        <v>41</v>
      </c>
      <c r="B5" s="3"/>
      <c r="C5" s="3"/>
      <c r="D5" s="3"/>
      <c r="E5" s="3"/>
      <c r="F5" s="3"/>
      <c r="G5" s="3"/>
      <c r="H5" s="3"/>
      <c r="I5" s="3"/>
      <c r="J5" s="3"/>
      <c r="K5" s="3"/>
      <c r="L5" s="3" cm="1">
        <f t="array" ref="L5">SUM(Table2[[#This Row],[Summary]:[Transcript]]/10)</f>
        <v>0</v>
      </c>
      <c r="M5" s="3"/>
    </row>
    <row r="6" spans="1:13" ht="85" x14ac:dyDescent="0.2">
      <c r="A6" s="3" t="s">
        <v>51</v>
      </c>
      <c r="B6" s="3">
        <v>3</v>
      </c>
      <c r="C6" s="3">
        <v>2</v>
      </c>
      <c r="D6" s="3">
        <v>4</v>
      </c>
      <c r="E6" s="3">
        <v>4</v>
      </c>
      <c r="F6" s="3">
        <v>4</v>
      </c>
      <c r="G6" s="3">
        <v>3</v>
      </c>
      <c r="H6" s="3">
        <v>4</v>
      </c>
      <c r="I6" s="3">
        <v>4</v>
      </c>
      <c r="J6" s="3">
        <v>4</v>
      </c>
      <c r="K6" s="3">
        <v>3</v>
      </c>
      <c r="L6" s="3" cm="1">
        <f t="array" ref="L6">SUM(Table2[[#This Row],[Summary]:[Transcript]]/10)</f>
        <v>3.4999999999999996</v>
      </c>
      <c r="M6" s="3" t="s">
        <v>279</v>
      </c>
    </row>
    <row r="7" spans="1:13" ht="17" x14ac:dyDescent="0.2">
      <c r="A7" s="3" t="s">
        <v>62</v>
      </c>
      <c r="B7" s="3"/>
      <c r="C7" s="3"/>
      <c r="D7" s="3"/>
      <c r="E7" s="3"/>
      <c r="F7" s="3"/>
      <c r="G7" s="3"/>
      <c r="H7" s="3"/>
      <c r="I7" s="3"/>
      <c r="J7" s="3"/>
      <c r="K7" s="3"/>
      <c r="L7" s="15"/>
      <c r="M7" s="3"/>
    </row>
    <row r="8" spans="1:13" ht="17" x14ac:dyDescent="0.2">
      <c r="A8" s="3" t="s">
        <v>71</v>
      </c>
      <c r="B8" s="3">
        <v>4</v>
      </c>
      <c r="C8" s="3">
        <v>4</v>
      </c>
      <c r="D8" s="3">
        <v>4</v>
      </c>
      <c r="E8" s="3">
        <v>4</v>
      </c>
      <c r="F8" s="3">
        <v>4</v>
      </c>
      <c r="G8" s="3">
        <v>4</v>
      </c>
      <c r="H8" s="3">
        <v>4</v>
      </c>
      <c r="I8" s="3">
        <v>4</v>
      </c>
      <c r="J8" s="3">
        <v>4</v>
      </c>
      <c r="K8" s="3">
        <v>4</v>
      </c>
      <c r="L8" s="3" cm="1">
        <f t="array" ref="L8">SUM(Table2[[#This Row],[Summary]:[Transcript]]/10)</f>
        <v>3.9999999999999996</v>
      </c>
      <c r="M8" s="3" t="s">
        <v>281</v>
      </c>
    </row>
    <row r="9" spans="1:13" ht="17" x14ac:dyDescent="0.2">
      <c r="A9" s="3" t="s">
        <v>80</v>
      </c>
      <c r="B9" s="3">
        <v>4</v>
      </c>
      <c r="C9" s="3">
        <v>4</v>
      </c>
      <c r="D9" s="3">
        <v>4</v>
      </c>
      <c r="E9" s="3">
        <v>4</v>
      </c>
      <c r="F9" s="3">
        <v>3</v>
      </c>
      <c r="G9" s="3">
        <v>4</v>
      </c>
      <c r="H9" s="3">
        <v>4</v>
      </c>
      <c r="I9" s="3">
        <v>4</v>
      </c>
      <c r="J9" s="3">
        <v>4</v>
      </c>
      <c r="K9" s="3">
        <v>4</v>
      </c>
      <c r="L9" s="3" cm="1">
        <f t="array" ref="L9">SUM(Table2[[#This Row],[Summary]:[Transcript]]/10)</f>
        <v>3.9</v>
      </c>
      <c r="M9" s="3" t="s">
        <v>282</v>
      </c>
    </row>
    <row r="10" spans="1:13" ht="34" x14ac:dyDescent="0.2">
      <c r="A10" s="3" t="s">
        <v>87</v>
      </c>
      <c r="B10" s="3">
        <v>4</v>
      </c>
      <c r="C10" s="3">
        <v>4</v>
      </c>
      <c r="D10" s="3">
        <v>4</v>
      </c>
      <c r="E10" s="3">
        <v>4</v>
      </c>
      <c r="F10" s="3">
        <v>3</v>
      </c>
      <c r="G10" s="3">
        <v>3</v>
      </c>
      <c r="H10" s="3">
        <v>4</v>
      </c>
      <c r="I10" s="3">
        <v>2</v>
      </c>
      <c r="J10" s="3">
        <v>2</v>
      </c>
      <c r="K10" s="3">
        <v>4</v>
      </c>
      <c r="L10" s="3" cm="1">
        <f t="array" ref="L10">SUM(Table2[[#This Row],[Summary]:[Transcript]]/10)</f>
        <v>3.4000000000000004</v>
      </c>
      <c r="M10" s="3" t="s">
        <v>283</v>
      </c>
    </row>
    <row r="11" spans="1:13" ht="17" x14ac:dyDescent="0.2">
      <c r="A11" s="3" t="s">
        <v>96</v>
      </c>
      <c r="B11" s="3"/>
      <c r="C11" s="3"/>
      <c r="D11" s="3"/>
      <c r="E11" s="3"/>
      <c r="F11" s="3"/>
      <c r="G11" s="3"/>
      <c r="H11" s="3"/>
      <c r="I11" s="3"/>
      <c r="J11" s="3"/>
      <c r="K11" s="3"/>
      <c r="L11" s="3" cm="1">
        <f t="array" ref="L11">SUM(Table2[[#This Row],[Summary]:[Transcript]]/10)</f>
        <v>0</v>
      </c>
      <c r="M11" s="3"/>
    </row>
    <row r="12" spans="1:13" ht="17" x14ac:dyDescent="0.2">
      <c r="A12" s="3" t="s">
        <v>104</v>
      </c>
      <c r="B12" s="3"/>
      <c r="C12" s="3"/>
      <c r="D12" s="3"/>
      <c r="E12" s="3"/>
      <c r="F12" s="3"/>
      <c r="G12" s="3"/>
      <c r="H12" s="3"/>
      <c r="I12" s="3"/>
      <c r="J12" s="3"/>
      <c r="K12" s="3"/>
      <c r="L12" s="3" cm="1">
        <f t="array" ref="L12">SUM(Table2[[#This Row],[Summary]:[Transcript]]/10)</f>
        <v>0</v>
      </c>
      <c r="M12" s="3"/>
    </row>
    <row r="13" spans="1:13" ht="17" x14ac:dyDescent="0.2">
      <c r="A13" s="3" t="s">
        <v>115</v>
      </c>
      <c r="B13" s="3"/>
      <c r="C13" s="3"/>
      <c r="D13" s="3"/>
      <c r="E13" s="3"/>
      <c r="F13" s="3"/>
      <c r="G13" s="3"/>
      <c r="H13" s="3"/>
      <c r="I13" s="3"/>
      <c r="J13" s="3"/>
      <c r="K13" s="3"/>
      <c r="L13" s="3" cm="1">
        <f t="array" ref="L13">SUM(Table2[[#This Row],[Summary]:[Transcript]]/10)</f>
        <v>0</v>
      </c>
      <c r="M13" s="3"/>
    </row>
    <row r="14" spans="1:13" ht="17" x14ac:dyDescent="0.2">
      <c r="A14" s="3" t="s">
        <v>125</v>
      </c>
      <c r="B14" s="3"/>
      <c r="C14" s="3"/>
      <c r="D14" s="3"/>
      <c r="E14" s="3"/>
      <c r="F14" s="3"/>
      <c r="G14" s="3"/>
      <c r="H14" s="3"/>
      <c r="I14" s="3"/>
      <c r="J14" s="3"/>
      <c r="K14" s="3"/>
      <c r="L14" s="3" cm="1">
        <f t="array" ref="L14">SUM(Table2[[#This Row],[Summary]:[Transcript]]/10)</f>
        <v>0</v>
      </c>
      <c r="M14" s="3"/>
    </row>
    <row r="15" spans="1:13" ht="17" x14ac:dyDescent="0.2">
      <c r="A15" s="3" t="s">
        <v>135</v>
      </c>
      <c r="B15" s="3"/>
      <c r="C15" s="3"/>
      <c r="D15" s="3"/>
      <c r="E15" s="3"/>
      <c r="F15" s="3"/>
      <c r="G15" s="3"/>
      <c r="H15" s="3"/>
      <c r="I15" s="3"/>
      <c r="J15" s="3"/>
      <c r="K15" s="3"/>
      <c r="L15" s="3" cm="1">
        <f t="array" ref="L15">SUM(Table2[[#This Row],[Summary]:[Transcript]]/10)</f>
        <v>0</v>
      </c>
      <c r="M15" s="3"/>
    </row>
    <row r="16" spans="1:13" ht="17" x14ac:dyDescent="0.2">
      <c r="A16" s="3" t="s">
        <v>141</v>
      </c>
      <c r="B16" s="3"/>
      <c r="C16" s="3"/>
      <c r="D16" s="3"/>
      <c r="E16" s="3"/>
      <c r="F16" s="3"/>
      <c r="G16" s="3"/>
      <c r="H16" s="3"/>
      <c r="I16" s="3"/>
      <c r="J16" s="3"/>
      <c r="K16" s="3"/>
      <c r="L16" s="3" cm="1">
        <f t="array" ref="L16">SUM(Table2[[#This Row],[Summary]:[Transcript]]/10)</f>
        <v>0</v>
      </c>
      <c r="M16" s="3"/>
    </row>
    <row r="17" spans="1:13" ht="17" x14ac:dyDescent="0.2">
      <c r="A17" s="3" t="s">
        <v>150</v>
      </c>
      <c r="B17" s="3"/>
      <c r="C17" s="3"/>
      <c r="D17" s="3"/>
      <c r="E17" s="3"/>
      <c r="F17" s="3"/>
      <c r="G17" s="3"/>
      <c r="H17" s="3"/>
      <c r="I17" s="3"/>
      <c r="J17" s="3"/>
      <c r="K17" s="3"/>
      <c r="L17" s="3" cm="1">
        <f t="array" ref="L17">SUM(Table2[[#This Row],[Summary]:[Transcript]]/10)</f>
        <v>0</v>
      </c>
      <c r="M17" s="3"/>
    </row>
    <row r="18" spans="1:13" ht="17" x14ac:dyDescent="0.2">
      <c r="A18" s="3" t="s">
        <v>156</v>
      </c>
      <c r="B18" s="3"/>
      <c r="C18" s="3"/>
      <c r="D18" s="3"/>
      <c r="E18" s="3"/>
      <c r="F18" s="3"/>
      <c r="G18" s="3"/>
      <c r="H18" s="3"/>
      <c r="I18" s="3"/>
      <c r="J18" s="3"/>
      <c r="K18" s="3"/>
      <c r="L18" s="3" cm="1">
        <f t="array" ref="L18">SUM(Table2[[#This Row],[Summary]:[Transcript]]/10)</f>
        <v>0</v>
      </c>
      <c r="M18" s="3"/>
    </row>
    <row r="19" spans="1:13" ht="17" x14ac:dyDescent="0.2">
      <c r="A19" s="3" t="s">
        <v>163</v>
      </c>
      <c r="B19" s="3"/>
      <c r="C19" s="3"/>
      <c r="D19" s="3"/>
      <c r="E19" s="3"/>
      <c r="F19" s="3"/>
      <c r="G19" s="3"/>
      <c r="H19" s="3"/>
      <c r="I19" s="3"/>
      <c r="J19" s="3"/>
      <c r="K19" s="3"/>
      <c r="L19" s="3" cm="1">
        <f t="array" ref="L19">SUM(Table2[[#This Row],[Summary]:[Transcript]]/10)</f>
        <v>0</v>
      </c>
      <c r="M19" s="3"/>
    </row>
    <row r="20" spans="1:13" ht="17" x14ac:dyDescent="0.2">
      <c r="A20" s="3" t="s">
        <v>173</v>
      </c>
      <c r="B20" s="3"/>
      <c r="C20" s="3"/>
      <c r="D20" s="3"/>
      <c r="E20" s="3"/>
      <c r="F20" s="3"/>
      <c r="G20" s="3"/>
      <c r="H20" s="3"/>
      <c r="I20" s="3"/>
      <c r="J20" s="3"/>
      <c r="K20" s="3"/>
      <c r="L20" s="3" cm="1">
        <f t="array" ref="L20">SUM(Table2[[#This Row],[Summary]:[Transcript]]/10)</f>
        <v>0</v>
      </c>
      <c r="M20" s="3"/>
    </row>
    <row r="21" spans="1:13" ht="17" x14ac:dyDescent="0.2">
      <c r="A21" s="3" t="s">
        <v>180</v>
      </c>
      <c r="B21" s="3"/>
      <c r="C21" s="3"/>
      <c r="D21" s="3"/>
      <c r="E21" s="3"/>
      <c r="F21" s="3"/>
      <c r="G21" s="3"/>
      <c r="H21" s="3"/>
      <c r="I21" s="3"/>
      <c r="J21" s="3"/>
      <c r="K21" s="3"/>
      <c r="L21" s="3" cm="1">
        <f t="array" ref="L21">SUM(Table2[[#This Row],[Summary]:[Transcript]]/10)</f>
        <v>0</v>
      </c>
      <c r="M21" s="3"/>
    </row>
    <row r="22" spans="1:13" ht="17" x14ac:dyDescent="0.2">
      <c r="A22" s="3" t="s">
        <v>189</v>
      </c>
      <c r="B22" s="3"/>
      <c r="C22" s="3"/>
      <c r="D22" s="3"/>
      <c r="E22" s="3"/>
      <c r="F22" s="3"/>
      <c r="G22" s="3"/>
      <c r="H22" s="3"/>
      <c r="I22" s="3"/>
      <c r="J22" s="3"/>
      <c r="K22" s="3"/>
      <c r="L22" s="3" cm="1">
        <f t="array" ref="L22">SUM(Table2[[#This Row],[Summary]:[Transcript]]/10)</f>
        <v>0</v>
      </c>
      <c r="M22" s="3"/>
    </row>
    <row r="23" spans="1:13" ht="17" x14ac:dyDescent="0.2">
      <c r="A23" s="3" t="s">
        <v>197</v>
      </c>
      <c r="B23" s="3"/>
      <c r="C23" s="3"/>
      <c r="D23" s="3"/>
      <c r="E23" s="3"/>
      <c r="F23" s="3"/>
      <c r="G23" s="3"/>
      <c r="H23" s="3"/>
      <c r="I23" s="3"/>
      <c r="J23" s="3"/>
      <c r="K23" s="3"/>
      <c r="L23" s="3" cm="1">
        <f t="array" ref="L23">SUM(Table2[[#This Row],[Summary]:[Transcript]]/10)</f>
        <v>0</v>
      </c>
      <c r="M23" s="3"/>
    </row>
    <row r="24" spans="1:13" ht="17" x14ac:dyDescent="0.2">
      <c r="A24" s="3" t="s">
        <v>204</v>
      </c>
      <c r="B24" s="3"/>
      <c r="C24" s="3"/>
      <c r="D24" s="3"/>
      <c r="E24" s="3"/>
      <c r="F24" s="3"/>
      <c r="G24" s="3"/>
      <c r="H24" s="3"/>
      <c r="I24" s="3"/>
      <c r="J24" s="3"/>
      <c r="K24" s="3"/>
      <c r="L24" s="3" cm="1">
        <f t="array" ref="L24">SUM(Table2[[#This Row],[Summary]:[Transcript]]/10)</f>
        <v>0</v>
      </c>
      <c r="M24" s="3"/>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C1BB5-B301-5D4C-9D79-2DCA98E3A561}">
  <dimension ref="A1:E19"/>
  <sheetViews>
    <sheetView workbookViewId="0">
      <selection activeCell="C12" sqref="C12"/>
    </sheetView>
    <sheetView workbookViewId="1">
      <selection activeCell="C24" sqref="C24"/>
    </sheetView>
  </sheetViews>
  <sheetFormatPr baseColWidth="10" defaultRowHeight="16" x14ac:dyDescent="0.2"/>
  <cols>
    <col min="1" max="1" width="27.6640625" style="7" customWidth="1"/>
    <col min="2" max="2" width="47" style="7" customWidth="1"/>
    <col min="3" max="3" width="42.6640625" style="7" customWidth="1"/>
    <col min="4" max="4" width="25" style="7" customWidth="1"/>
    <col min="5" max="5" width="42.6640625" style="7" customWidth="1"/>
    <col min="6" max="6" width="24.33203125" style="7" customWidth="1"/>
    <col min="7" max="7" width="12.1640625" style="7" customWidth="1"/>
    <col min="8" max="8" width="10.83203125" style="7"/>
    <col min="9" max="9" width="45.1640625" style="7" customWidth="1"/>
    <col min="10" max="12" width="10.83203125" style="7"/>
    <col min="13" max="13" width="29.6640625" style="7" customWidth="1"/>
    <col min="14" max="17" width="10.83203125" style="7"/>
    <col min="18" max="18" width="14.6640625" style="7" customWidth="1"/>
    <col min="19" max="16384" width="10.83203125" style="7"/>
  </cols>
  <sheetData>
    <row r="1" spans="1:5" ht="22" x14ac:dyDescent="0.3">
      <c r="A1" s="11" t="s">
        <v>234</v>
      </c>
    </row>
    <row r="2" spans="1:5" ht="49" customHeight="1" x14ac:dyDescent="0.2">
      <c r="A2" s="10" t="s">
        <v>242</v>
      </c>
      <c r="B2" s="10" t="s">
        <v>231</v>
      </c>
      <c r="C2" s="10" t="s">
        <v>232</v>
      </c>
      <c r="D2" s="10" t="s">
        <v>268</v>
      </c>
      <c r="E2" s="10" t="s">
        <v>233</v>
      </c>
    </row>
    <row r="3" spans="1:5" ht="46" customHeight="1" x14ac:dyDescent="0.2">
      <c r="A3" s="8" t="s">
        <v>224</v>
      </c>
      <c r="B3" s="1" t="s">
        <v>235</v>
      </c>
      <c r="C3" s="1" t="s">
        <v>243</v>
      </c>
      <c r="E3" s="1" t="s">
        <v>244</v>
      </c>
    </row>
    <row r="4" spans="1:5" ht="51" x14ac:dyDescent="0.2">
      <c r="A4" s="7" t="s">
        <v>225</v>
      </c>
      <c r="B4" s="1" t="s">
        <v>236</v>
      </c>
      <c r="C4" s="1" t="s">
        <v>245</v>
      </c>
      <c r="E4" s="1" t="s">
        <v>277</v>
      </c>
    </row>
    <row r="5" spans="1:5" ht="51" x14ac:dyDescent="0.2">
      <c r="A5" s="7" t="s">
        <v>226</v>
      </c>
      <c r="B5" s="1" t="s">
        <v>237</v>
      </c>
      <c r="C5" s="1" t="s">
        <v>246</v>
      </c>
      <c r="D5" s="7" t="s">
        <v>271</v>
      </c>
      <c r="E5" s="1" t="s">
        <v>247</v>
      </c>
    </row>
    <row r="6" spans="1:5" ht="51" x14ac:dyDescent="0.2">
      <c r="A6" s="7" t="s">
        <v>227</v>
      </c>
      <c r="B6" s="1" t="s">
        <v>238</v>
      </c>
      <c r="C6" s="1" t="s">
        <v>248</v>
      </c>
      <c r="E6" s="1" t="s">
        <v>249</v>
      </c>
    </row>
    <row r="7" spans="1:5" ht="34" x14ac:dyDescent="0.2">
      <c r="A7" s="7" t="s">
        <v>228</v>
      </c>
      <c r="B7" s="1" t="s">
        <v>239</v>
      </c>
      <c r="C7" s="1" t="s">
        <v>250</v>
      </c>
      <c r="E7" s="1" t="s">
        <v>251</v>
      </c>
    </row>
    <row r="8" spans="1:5" ht="51" x14ac:dyDescent="0.2">
      <c r="A8" s="7" t="s">
        <v>229</v>
      </c>
      <c r="B8" s="1" t="s">
        <v>240</v>
      </c>
      <c r="C8" s="1" t="s">
        <v>252</v>
      </c>
      <c r="D8" s="1" t="s">
        <v>270</v>
      </c>
      <c r="E8" s="1" t="s">
        <v>253</v>
      </c>
    </row>
    <row r="9" spans="1:5" ht="51" x14ac:dyDescent="0.2">
      <c r="A9" s="7" t="s">
        <v>230</v>
      </c>
      <c r="B9" s="1" t="s">
        <v>241</v>
      </c>
      <c r="C9" s="1" t="s">
        <v>254</v>
      </c>
      <c r="E9" s="1" t="s">
        <v>255</v>
      </c>
    </row>
    <row r="10" spans="1:5" ht="34" x14ac:dyDescent="0.2">
      <c r="A10" s="7" t="s">
        <v>257</v>
      </c>
      <c r="B10" s="1" t="s">
        <v>256</v>
      </c>
      <c r="C10" s="1" t="s">
        <v>258</v>
      </c>
      <c r="E10" s="1" t="s">
        <v>259</v>
      </c>
    </row>
    <row r="11" spans="1:5" ht="34" x14ac:dyDescent="0.2">
      <c r="A11" s="7" t="s">
        <v>260</v>
      </c>
      <c r="B11" s="1" t="s">
        <v>261</v>
      </c>
      <c r="C11" s="1" t="s">
        <v>262</v>
      </c>
      <c r="E11" s="1" t="s">
        <v>263</v>
      </c>
    </row>
    <row r="12" spans="1:5" ht="51" x14ac:dyDescent="0.2">
      <c r="A12" s="7" t="s">
        <v>264</v>
      </c>
      <c r="B12" s="1" t="s">
        <v>265</v>
      </c>
      <c r="C12" s="1" t="s">
        <v>266</v>
      </c>
      <c r="D12" s="1" t="s">
        <v>269</v>
      </c>
      <c r="E12" s="1" t="s">
        <v>267</v>
      </c>
    </row>
    <row r="14" spans="1:5" x14ac:dyDescent="0.2">
      <c r="A14" s="9" t="s">
        <v>211</v>
      </c>
      <c r="B14" s="9" t="s">
        <v>212</v>
      </c>
      <c r="C14" s="9" t="s">
        <v>213</v>
      </c>
    </row>
    <row r="15" spans="1:5" x14ac:dyDescent="0.2">
      <c r="A15" s="9">
        <v>4</v>
      </c>
      <c r="B15" s="7" t="s">
        <v>214</v>
      </c>
      <c r="C15" s="7" t="s">
        <v>215</v>
      </c>
    </row>
    <row r="16" spans="1:5" x14ac:dyDescent="0.2">
      <c r="A16" s="9">
        <v>3</v>
      </c>
      <c r="B16" s="7" t="s">
        <v>216</v>
      </c>
      <c r="C16" s="7" t="s">
        <v>217</v>
      </c>
    </row>
    <row r="17" spans="1:3" x14ac:dyDescent="0.2">
      <c r="A17" s="9">
        <v>2</v>
      </c>
      <c r="B17" s="7" t="s">
        <v>218</v>
      </c>
      <c r="C17" s="7" t="s">
        <v>219</v>
      </c>
    </row>
    <row r="18" spans="1:3" x14ac:dyDescent="0.2">
      <c r="A18" s="9">
        <v>1</v>
      </c>
      <c r="B18" s="7" t="s">
        <v>220</v>
      </c>
      <c r="C18" s="7" t="s">
        <v>221</v>
      </c>
    </row>
    <row r="19" spans="1:3" x14ac:dyDescent="0.2">
      <c r="A19" s="9">
        <v>0</v>
      </c>
      <c r="B19" s="7" t="s">
        <v>222</v>
      </c>
      <c r="C19" s="7" t="s">
        <v>223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All Videos Analyses</vt:lpstr>
      <vt:lpstr>Video Evaluation</vt:lpstr>
      <vt:lpstr>Scoring System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Tiffany Lui</cp:lastModifiedBy>
  <dcterms:created xsi:type="dcterms:W3CDTF">2026-01-22T23:45:37Z</dcterms:created>
  <dcterms:modified xsi:type="dcterms:W3CDTF">2026-01-23T01:43:01Z</dcterms:modified>
</cp:coreProperties>
</file>